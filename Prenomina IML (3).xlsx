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3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4.xml" ContentType="application/vnd.openxmlformats-officedocument.drawing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amandam\Documents\IML Servicios\"/>
    </mc:Choice>
  </mc:AlternateContent>
  <xr:revisionPtr revIDLastSave="0" documentId="13_ncr:1_{C068875C-F20B-4CB1-9C32-B3F318A2A99D}" xr6:coauthVersionLast="47" xr6:coauthVersionMax="47" xr10:uidLastSave="{00000000-0000-0000-0000-000000000000}"/>
  <bookViews>
    <workbookView xWindow="-103" yWindow="-103" windowWidth="22149" windowHeight="11829" firstSheet="2" activeTab="2" xr2:uid="{00000000-000D-0000-FFFF-FFFF00000000}"/>
  </bookViews>
  <sheets>
    <sheet name="Prenomina septiembre" sheetId="1" r:id="rId1"/>
    <sheet name="Prenomina octubre" sheetId="5" r:id="rId2"/>
    <sheet name="Prenomina Noviembre" sheetId="7" r:id="rId3"/>
    <sheet name="nominilla" sheetId="10" r:id="rId4"/>
    <sheet name="Prenomina Diciembre" sheetId="8" r:id="rId5"/>
    <sheet name="Submayor Vacaciones" sheetId="2" r:id="rId6"/>
    <sheet name="Listado Trabajadores" sheetId="3" r:id="rId7"/>
  </sheets>
  <definedNames>
    <definedName name="_xlnm.Print_Area" localSheetId="3">nominilla!$A$1:$P$8</definedName>
    <definedName name="_xlnm.Print_Area" localSheetId="4">'Prenomina Diciembre'!$A$5:$P$230</definedName>
    <definedName name="_xlnm.Print_Area" localSheetId="2">'Prenomina Noviembre'!$A$5:$P$209</definedName>
    <definedName name="_xlnm.Print_Area" localSheetId="1">'Prenomina octubre'!$A$5:$P$234</definedName>
    <definedName name="_xlnm.Print_Area" localSheetId="0">'Prenomina septiembre'!$A$5:$O$211</definedName>
    <definedName name="_xlnm.Print_Area" localSheetId="5">'Submayor Vacaciones'!$A$1:$I$111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7" l="1"/>
  <c r="C37" i="2" l="1"/>
  <c r="D37" i="2"/>
  <c r="B174" i="7"/>
  <c r="C174" i="7"/>
  <c r="E174" i="7"/>
  <c r="F174" i="7" s="1"/>
  <c r="H174" i="7" s="1"/>
  <c r="N174" i="7"/>
  <c r="D106" i="2"/>
  <c r="B106" i="2"/>
  <c r="D105" i="2"/>
  <c r="B105" i="2"/>
  <c r="B201" i="7"/>
  <c r="C201" i="7"/>
  <c r="E201" i="7"/>
  <c r="K201" i="7" s="1" a="1"/>
  <c r="K201" i="7" s="1"/>
  <c r="C64" i="2"/>
  <c r="C44" i="2"/>
  <c r="C19" i="2"/>
  <c r="B8" i="10"/>
  <c r="C8" i="10"/>
  <c r="E8" i="10"/>
  <c r="L8" i="10"/>
  <c r="M8" i="10"/>
  <c r="P8" i="10" s="1"/>
  <c r="M1" i="10"/>
  <c r="K1" i="10"/>
  <c r="E7" i="10"/>
  <c r="C7" i="10"/>
  <c r="B7" i="10"/>
  <c r="C16" i="2"/>
  <c r="C14" i="2"/>
  <c r="C100" i="2"/>
  <c r="C99" i="2"/>
  <c r="C98" i="2"/>
  <c r="C97" i="2"/>
  <c r="C95" i="2"/>
  <c r="C94" i="2"/>
  <c r="C93" i="2"/>
  <c r="C92" i="2"/>
  <c r="C88" i="2"/>
  <c r="C84" i="2"/>
  <c r="C83" i="2"/>
  <c r="C82" i="2"/>
  <c r="C81" i="2"/>
  <c r="C80" i="2"/>
  <c r="C79" i="2"/>
  <c r="C77" i="2"/>
  <c r="C76" i="2"/>
  <c r="C75" i="2"/>
  <c r="C74" i="2"/>
  <c r="C73" i="2"/>
  <c r="C72" i="2"/>
  <c r="C70" i="2"/>
  <c r="C69" i="2"/>
  <c r="C68" i="2"/>
  <c r="C67" i="2"/>
  <c r="C63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3" i="2"/>
  <c r="C42" i="2"/>
  <c r="C41" i="2"/>
  <c r="C40" i="2"/>
  <c r="C38" i="2"/>
  <c r="C36" i="2"/>
  <c r="C35" i="2"/>
  <c r="C34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8" i="2"/>
  <c r="C17" i="2"/>
  <c r="C15" i="2"/>
  <c r="C13" i="2"/>
  <c r="C12" i="2"/>
  <c r="C11" i="2"/>
  <c r="C10" i="2"/>
  <c r="C8" i="2"/>
  <c r="C7" i="2"/>
  <c r="C6" i="2"/>
  <c r="C5" i="2"/>
  <c r="C4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85" i="2"/>
  <c r="D84" i="2"/>
  <c r="D83" i="2"/>
  <c r="D82" i="2"/>
  <c r="D81" i="2"/>
  <c r="D80" i="2"/>
  <c r="D79" i="2"/>
  <c r="D77" i="2"/>
  <c r="D76" i="2"/>
  <c r="D75" i="2"/>
  <c r="D74" i="2"/>
  <c r="D73" i="2"/>
  <c r="D72" i="2"/>
  <c r="D71" i="2"/>
  <c r="D70" i="2"/>
  <c r="D69" i="2"/>
  <c r="D68" i="2"/>
  <c r="D67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8" i="2"/>
  <c r="D36" i="2"/>
  <c r="D35" i="2"/>
  <c r="D34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8" i="2"/>
  <c r="D7" i="2"/>
  <c r="D6" i="2"/>
  <c r="D5" i="2"/>
  <c r="D4" i="2"/>
  <c r="K160" i="7"/>
  <c r="D33" i="2"/>
  <c r="K5" i="7"/>
  <c r="E221" i="8"/>
  <c r="K221" i="8" s="1" a="1"/>
  <c r="K221" i="8" s="1"/>
  <c r="C221" i="8"/>
  <c r="B221" i="8"/>
  <c r="E220" i="8"/>
  <c r="K220" i="8" s="1" a="1"/>
  <c r="K220" i="8" s="1"/>
  <c r="C220" i="8"/>
  <c r="B220" i="8"/>
  <c r="E219" i="8"/>
  <c r="K219" i="8" s="1" a="1"/>
  <c r="K219" i="8" s="1"/>
  <c r="D219" i="8"/>
  <c r="C219" i="8"/>
  <c r="B219" i="8"/>
  <c r="E218" i="8"/>
  <c r="K218" i="8" s="1" a="1"/>
  <c r="K218" i="8" s="1"/>
  <c r="D218" i="8"/>
  <c r="C218" i="8"/>
  <c r="B218" i="8"/>
  <c r="E217" i="8"/>
  <c r="F217" i="8" s="1"/>
  <c r="H217" i="8" s="1"/>
  <c r="L217" i="8" s="1"/>
  <c r="M217" i="8" s="1"/>
  <c r="D221" i="8" s="1"/>
  <c r="D217" i="8"/>
  <c r="C217" i="8"/>
  <c r="B217" i="8"/>
  <c r="E204" i="8"/>
  <c r="K204" i="8" s="1" a="1"/>
  <c r="K204" i="8" s="1"/>
  <c r="D204" i="8"/>
  <c r="C204" i="8"/>
  <c r="B204" i="8"/>
  <c r="M200" i="8"/>
  <c r="L200" i="8"/>
  <c r="E195" i="8"/>
  <c r="F195" i="8" s="1"/>
  <c r="H195" i="8" s="1"/>
  <c r="C195" i="8"/>
  <c r="B195" i="8"/>
  <c r="E194" i="8"/>
  <c r="K194" i="8" s="1" a="1"/>
  <c r="K194" i="8" s="1"/>
  <c r="C194" i="8"/>
  <c r="B194" i="8"/>
  <c r="E193" i="8"/>
  <c r="F193" i="8" s="1"/>
  <c r="H193" i="8" s="1"/>
  <c r="C193" i="8"/>
  <c r="B193" i="8"/>
  <c r="E192" i="8"/>
  <c r="K192" i="8" s="1" a="1"/>
  <c r="K192" i="8" s="1"/>
  <c r="C192" i="8"/>
  <c r="B192" i="8"/>
  <c r="E191" i="8"/>
  <c r="C191" i="8"/>
  <c r="B191" i="8"/>
  <c r="E190" i="8"/>
  <c r="K190" i="8" s="1" a="1"/>
  <c r="K190" i="8" s="1"/>
  <c r="C190" i="8"/>
  <c r="B190" i="8"/>
  <c r="E189" i="8"/>
  <c r="K189" i="8" s="1" a="1"/>
  <c r="K189" i="8" s="1"/>
  <c r="D189" i="8"/>
  <c r="C189" i="8"/>
  <c r="B189" i="8"/>
  <c r="N176" i="8"/>
  <c r="E176" i="8"/>
  <c r="F176" i="8" s="1"/>
  <c r="H176" i="8" s="1"/>
  <c r="C176" i="8"/>
  <c r="B176" i="8"/>
  <c r="N175" i="8"/>
  <c r="E175" i="8"/>
  <c r="F175" i="8" s="1"/>
  <c r="H175" i="8" s="1"/>
  <c r="L175" i="8" s="1"/>
  <c r="M175" i="8" s="1"/>
  <c r="C175" i="8"/>
  <c r="B175" i="8"/>
  <c r="N174" i="8"/>
  <c r="K174" i="8"/>
  <c r="E174" i="8"/>
  <c r="F174" i="8" s="1"/>
  <c r="H174" i="8" s="1"/>
  <c r="C174" i="8"/>
  <c r="B174" i="8"/>
  <c r="N173" i="8"/>
  <c r="E173" i="8"/>
  <c r="F173" i="8" s="1"/>
  <c r="H173" i="8" s="1"/>
  <c r="K173" i="8" s="1"/>
  <c r="L173" i="8" s="1"/>
  <c r="M173" i="8" s="1"/>
  <c r="C173" i="8"/>
  <c r="B173" i="8"/>
  <c r="N172" i="8"/>
  <c r="E172" i="8"/>
  <c r="F172" i="8" s="1"/>
  <c r="H172" i="8" s="1"/>
  <c r="C172" i="8"/>
  <c r="B172" i="8"/>
  <c r="N171" i="8"/>
  <c r="E171" i="8"/>
  <c r="F171" i="8" s="1"/>
  <c r="H171" i="8" s="1"/>
  <c r="C171" i="8"/>
  <c r="B171" i="8"/>
  <c r="N170" i="8"/>
  <c r="E170" i="8"/>
  <c r="F170" i="8" s="1"/>
  <c r="H170" i="8" s="1"/>
  <c r="C170" i="8"/>
  <c r="B170" i="8"/>
  <c r="N169" i="8"/>
  <c r="E169" i="8"/>
  <c r="F169" i="8" s="1"/>
  <c r="H169" i="8" s="1"/>
  <c r="K169" i="8" s="1"/>
  <c r="C169" i="8"/>
  <c r="B169" i="8"/>
  <c r="N168" i="8"/>
  <c r="E168" i="8"/>
  <c r="F168" i="8" s="1"/>
  <c r="H168" i="8" s="1"/>
  <c r="C168" i="8"/>
  <c r="B168" i="8"/>
  <c r="N167" i="8"/>
  <c r="E167" i="8"/>
  <c r="F167" i="8" s="1"/>
  <c r="H167" i="8" s="1"/>
  <c r="K167" i="8" s="1"/>
  <c r="C167" i="8"/>
  <c r="B167" i="8"/>
  <c r="N166" i="8"/>
  <c r="E166" i="8"/>
  <c r="F166" i="8" s="1"/>
  <c r="H166" i="8" s="1"/>
  <c r="C166" i="8"/>
  <c r="B166" i="8"/>
  <c r="N165" i="8"/>
  <c r="E165" i="8"/>
  <c r="F165" i="8" s="1"/>
  <c r="H165" i="8" s="1"/>
  <c r="C165" i="8"/>
  <c r="B165" i="8"/>
  <c r="N164" i="8"/>
  <c r="E164" i="8"/>
  <c r="F164" i="8" s="1"/>
  <c r="H164" i="8" s="1"/>
  <c r="C164" i="8"/>
  <c r="B164" i="8"/>
  <c r="N163" i="8"/>
  <c r="E163" i="8"/>
  <c r="F163" i="8" s="1"/>
  <c r="H163" i="8" s="1"/>
  <c r="K163" i="8" s="1"/>
  <c r="C163" i="8"/>
  <c r="B163" i="8"/>
  <c r="C158" i="8"/>
  <c r="C184" i="8" s="1"/>
  <c r="C199" i="8" s="1"/>
  <c r="N147" i="8"/>
  <c r="E147" i="8"/>
  <c r="C147" i="8"/>
  <c r="B147" i="8"/>
  <c r="N146" i="8"/>
  <c r="E146" i="8"/>
  <c r="K146" i="8" s="1" a="1"/>
  <c r="K146" i="8" s="1"/>
  <c r="C146" i="8"/>
  <c r="B146" i="8"/>
  <c r="N145" i="8"/>
  <c r="E145" i="8"/>
  <c r="K145" i="8" s="1" a="1"/>
  <c r="K145" i="8" s="1"/>
  <c r="C145" i="8"/>
  <c r="B145" i="8"/>
  <c r="N144" i="8"/>
  <c r="E144" i="8"/>
  <c r="F144" i="8" s="1"/>
  <c r="H144" i="8" s="1"/>
  <c r="C144" i="8"/>
  <c r="B144" i="8"/>
  <c r="N143" i="8"/>
  <c r="E143" i="8"/>
  <c r="F143" i="8" s="1"/>
  <c r="H143" i="8" s="1"/>
  <c r="C143" i="8"/>
  <c r="B143" i="8"/>
  <c r="N142" i="8"/>
  <c r="E142" i="8"/>
  <c r="F142" i="8" s="1"/>
  <c r="H142" i="8" s="1"/>
  <c r="C142" i="8"/>
  <c r="B142" i="8"/>
  <c r="N141" i="8"/>
  <c r="E141" i="8"/>
  <c r="F141" i="8" s="1"/>
  <c r="H141" i="8" s="1"/>
  <c r="C141" i="8"/>
  <c r="B141" i="8"/>
  <c r="N140" i="8"/>
  <c r="E140" i="8"/>
  <c r="F140" i="8" s="1"/>
  <c r="H140" i="8" s="1"/>
  <c r="C140" i="8"/>
  <c r="B140" i="8"/>
  <c r="N139" i="8"/>
  <c r="E139" i="8"/>
  <c r="F139" i="8" s="1"/>
  <c r="H139" i="8" s="1"/>
  <c r="C139" i="8"/>
  <c r="B139" i="8"/>
  <c r="N138" i="8"/>
  <c r="E138" i="8"/>
  <c r="K138" i="8" s="1" a="1"/>
  <c r="K138" i="8" s="1"/>
  <c r="C138" i="8"/>
  <c r="B138" i="8"/>
  <c r="N137" i="8"/>
  <c r="E137" i="8"/>
  <c r="K137" i="8" s="1" a="1"/>
  <c r="K137" i="8" s="1"/>
  <c r="C137" i="8"/>
  <c r="B137" i="8"/>
  <c r="N136" i="8"/>
  <c r="E136" i="8"/>
  <c r="K136" i="8" s="1" a="1"/>
  <c r="K136" i="8" s="1"/>
  <c r="C136" i="8"/>
  <c r="B136" i="8"/>
  <c r="N135" i="8"/>
  <c r="E135" i="8"/>
  <c r="C135" i="8"/>
  <c r="B135" i="8"/>
  <c r="N134" i="8"/>
  <c r="E134" i="8"/>
  <c r="K134" i="8" s="1" a="1"/>
  <c r="K134" i="8" s="1"/>
  <c r="C134" i="8"/>
  <c r="B134" i="8"/>
  <c r="N133" i="8"/>
  <c r="E133" i="8"/>
  <c r="K133" i="8" s="1" a="1"/>
  <c r="K133" i="8" s="1"/>
  <c r="C133" i="8"/>
  <c r="B133" i="8"/>
  <c r="N132" i="8"/>
  <c r="E132" i="8"/>
  <c r="F132" i="8" s="1"/>
  <c r="H132" i="8" s="1"/>
  <c r="C132" i="8"/>
  <c r="B132" i="8"/>
  <c r="N112" i="8"/>
  <c r="E112" i="8"/>
  <c r="K112" i="8" s="1" a="1"/>
  <c r="K112" i="8" s="1"/>
  <c r="C112" i="8"/>
  <c r="B112" i="8"/>
  <c r="N111" i="8"/>
  <c r="E111" i="8"/>
  <c r="F111" i="8" s="1"/>
  <c r="H111" i="8" s="1"/>
  <c r="C111" i="8"/>
  <c r="B111" i="8"/>
  <c r="N110" i="8"/>
  <c r="E110" i="8"/>
  <c r="F110" i="8" s="1"/>
  <c r="H110" i="8" s="1"/>
  <c r="C110" i="8"/>
  <c r="B110" i="8"/>
  <c r="N109" i="8"/>
  <c r="E109" i="8"/>
  <c r="K109" i="8" s="1" a="1"/>
  <c r="K109" i="8" s="1"/>
  <c r="C109" i="8"/>
  <c r="B109" i="8"/>
  <c r="M105" i="8"/>
  <c r="L105" i="8"/>
  <c r="C104" i="8"/>
  <c r="M103" i="8"/>
  <c r="M127" i="8" s="1"/>
  <c r="M157" i="8" s="1"/>
  <c r="M183" i="8" s="1"/>
  <c r="M198" i="8" s="1"/>
  <c r="N91" i="8"/>
  <c r="E91" i="8"/>
  <c r="K91" i="8" s="1" a="1"/>
  <c r="K91" i="8" s="1"/>
  <c r="C91" i="8"/>
  <c r="B91" i="8"/>
  <c r="N90" i="8"/>
  <c r="E90" i="8"/>
  <c r="K90" i="8" s="1" a="1"/>
  <c r="K90" i="8" s="1"/>
  <c r="C90" i="8"/>
  <c r="B90" i="8"/>
  <c r="N89" i="8"/>
  <c r="E89" i="8"/>
  <c r="F89" i="8" s="1"/>
  <c r="H89" i="8" s="1"/>
  <c r="C89" i="8"/>
  <c r="B89" i="8"/>
  <c r="N88" i="8"/>
  <c r="E88" i="8"/>
  <c r="F88" i="8" s="1"/>
  <c r="H88" i="8" s="1"/>
  <c r="C88" i="8"/>
  <c r="B88" i="8"/>
  <c r="N87" i="8"/>
  <c r="E87" i="8"/>
  <c r="K87" i="8" s="1" a="1"/>
  <c r="K87" i="8" s="1"/>
  <c r="C87" i="8"/>
  <c r="B87" i="8"/>
  <c r="N86" i="8"/>
  <c r="E86" i="8"/>
  <c r="C86" i="8"/>
  <c r="B86" i="8"/>
  <c r="N85" i="8"/>
  <c r="E85" i="8"/>
  <c r="F85" i="8" s="1"/>
  <c r="H85" i="8" s="1"/>
  <c r="C85" i="8"/>
  <c r="B85" i="8"/>
  <c r="N84" i="8"/>
  <c r="E84" i="8"/>
  <c r="K84" i="8" s="1" a="1"/>
  <c r="K84" i="8" s="1"/>
  <c r="C84" i="8"/>
  <c r="B84" i="8"/>
  <c r="N83" i="8"/>
  <c r="E83" i="8"/>
  <c r="F83" i="8" s="1"/>
  <c r="H83" i="8" s="1"/>
  <c r="C83" i="8"/>
  <c r="B83" i="8"/>
  <c r="N82" i="8"/>
  <c r="E82" i="8"/>
  <c r="F82" i="8" s="1"/>
  <c r="H82" i="8" s="1"/>
  <c r="C82" i="8"/>
  <c r="B82" i="8"/>
  <c r="N81" i="8"/>
  <c r="E81" i="8"/>
  <c r="F81" i="8" s="1"/>
  <c r="H81" i="8" s="1"/>
  <c r="K81" i="8" s="1"/>
  <c r="C81" i="8"/>
  <c r="B81" i="8"/>
  <c r="N80" i="8"/>
  <c r="E80" i="8"/>
  <c r="C80" i="8"/>
  <c r="B80" i="8"/>
  <c r="N79" i="8"/>
  <c r="E79" i="8"/>
  <c r="C79" i="8"/>
  <c r="B79" i="8"/>
  <c r="N78" i="8"/>
  <c r="E78" i="8"/>
  <c r="C78" i="8"/>
  <c r="B78" i="8"/>
  <c r="N77" i="8"/>
  <c r="E77" i="8"/>
  <c r="D77" i="8"/>
  <c r="C77" i="8"/>
  <c r="B77" i="8"/>
  <c r="N76" i="8"/>
  <c r="E76" i="8"/>
  <c r="F76" i="8" s="1"/>
  <c r="H76" i="8" s="1"/>
  <c r="D76" i="8"/>
  <c r="C76" i="8"/>
  <c r="B76" i="8"/>
  <c r="M72" i="8"/>
  <c r="L72" i="8"/>
  <c r="C71" i="8"/>
  <c r="M70" i="8"/>
  <c r="K70" i="8"/>
  <c r="K103" i="8" s="1"/>
  <c r="K127" i="8" s="1"/>
  <c r="K157" i="8" s="1"/>
  <c r="K183" i="8" s="1"/>
  <c r="K198" i="8" s="1"/>
  <c r="N54" i="8"/>
  <c r="E54" i="8"/>
  <c r="F54" i="8" s="1"/>
  <c r="H54" i="8" s="1"/>
  <c r="C54" i="8"/>
  <c r="B54" i="8"/>
  <c r="N53" i="8"/>
  <c r="E53" i="8"/>
  <c r="F53" i="8" s="1"/>
  <c r="H53" i="8" s="1"/>
  <c r="K53" i="8" s="1"/>
  <c r="C53" i="8"/>
  <c r="B53" i="8"/>
  <c r="N52" i="8"/>
  <c r="E52" i="8"/>
  <c r="F52" i="8" s="1"/>
  <c r="H52" i="8" s="1"/>
  <c r="C52" i="8"/>
  <c r="B52" i="8"/>
  <c r="N51" i="8"/>
  <c r="E51" i="8"/>
  <c r="F51" i="8" s="1"/>
  <c r="H51" i="8" s="1"/>
  <c r="C51" i="8"/>
  <c r="B51" i="8"/>
  <c r="N50" i="8"/>
  <c r="E50" i="8"/>
  <c r="F50" i="8" s="1"/>
  <c r="H50" i="8" s="1"/>
  <c r="C50" i="8"/>
  <c r="B50" i="8"/>
  <c r="N49" i="8"/>
  <c r="E49" i="8"/>
  <c r="F49" i="8" s="1"/>
  <c r="H49" i="8" s="1"/>
  <c r="C49" i="8"/>
  <c r="B49" i="8"/>
  <c r="N48" i="8"/>
  <c r="E48" i="8"/>
  <c r="F48" i="8" s="1"/>
  <c r="H48" i="8" s="1"/>
  <c r="C48" i="8"/>
  <c r="B48" i="8"/>
  <c r="N47" i="8"/>
  <c r="E47" i="8"/>
  <c r="F47" i="8" s="1"/>
  <c r="H47" i="8" s="1"/>
  <c r="C47" i="8"/>
  <c r="B47" i="8"/>
  <c r="N46" i="8"/>
  <c r="E46" i="8"/>
  <c r="F46" i="8" s="1"/>
  <c r="H46" i="8" s="1"/>
  <c r="C46" i="8"/>
  <c r="B46" i="8"/>
  <c r="N45" i="8"/>
  <c r="E45" i="8"/>
  <c r="C45" i="8"/>
  <c r="B45" i="8"/>
  <c r="N44" i="8"/>
  <c r="E44" i="8"/>
  <c r="C44" i="8"/>
  <c r="B44" i="8"/>
  <c r="N43" i="8"/>
  <c r="E43" i="8"/>
  <c r="C43" i="8"/>
  <c r="B43" i="8"/>
  <c r="N42" i="8"/>
  <c r="E42" i="8"/>
  <c r="C42" i="8"/>
  <c r="B42" i="8"/>
  <c r="N41" i="8"/>
  <c r="E41" i="8"/>
  <c r="C41" i="8"/>
  <c r="B41" i="8"/>
  <c r="N40" i="8"/>
  <c r="E40" i="8"/>
  <c r="C40" i="8"/>
  <c r="B40" i="8"/>
  <c r="N39" i="8"/>
  <c r="E39" i="8"/>
  <c r="C39" i="8"/>
  <c r="B39" i="8"/>
  <c r="N38" i="8"/>
  <c r="E38" i="8"/>
  <c r="C38" i="8"/>
  <c r="B38" i="8"/>
  <c r="N37" i="8"/>
  <c r="E37" i="8"/>
  <c r="C37" i="8"/>
  <c r="B37" i="8"/>
  <c r="N36" i="8"/>
  <c r="E36" i="8"/>
  <c r="C36" i="8"/>
  <c r="B36" i="8"/>
  <c r="N35" i="8"/>
  <c r="E35" i="8"/>
  <c r="C35" i="8"/>
  <c r="B35" i="8"/>
  <c r="N34" i="8"/>
  <c r="E34" i="8"/>
  <c r="C34" i="8"/>
  <c r="B34" i="8"/>
  <c r="N33" i="8"/>
  <c r="E33" i="8"/>
  <c r="C33" i="8"/>
  <c r="B33" i="8"/>
  <c r="N32" i="8"/>
  <c r="E32" i="8"/>
  <c r="D32" i="8"/>
  <c r="C32" i="8"/>
  <c r="B32" i="8"/>
  <c r="N31" i="8"/>
  <c r="E31" i="8"/>
  <c r="D31" i="8"/>
  <c r="C31" i="8"/>
  <c r="B31" i="8"/>
  <c r="N30" i="8"/>
  <c r="E30" i="8"/>
  <c r="F30" i="8" s="1"/>
  <c r="H30" i="8" s="1"/>
  <c r="K30" i="8" s="1"/>
  <c r="C30" i="8"/>
  <c r="B30" i="8"/>
  <c r="N29" i="8"/>
  <c r="E29" i="8"/>
  <c r="F29" i="8" s="1"/>
  <c r="H29" i="8" s="1"/>
  <c r="C29" i="8"/>
  <c r="B29" i="8"/>
  <c r="M26" i="8"/>
  <c r="L26" i="8"/>
  <c r="C25" i="8"/>
  <c r="N16" i="8"/>
  <c r="E16" i="8"/>
  <c r="C16" i="8"/>
  <c r="B16" i="8"/>
  <c r="N15" i="8"/>
  <c r="E15" i="8"/>
  <c r="C15" i="8"/>
  <c r="B15" i="8"/>
  <c r="N14" i="8"/>
  <c r="E14" i="8"/>
  <c r="F14" i="8" s="1"/>
  <c r="H14" i="8" s="1"/>
  <c r="C14" i="8"/>
  <c r="B14" i="8"/>
  <c r="N13" i="8"/>
  <c r="I13" i="8"/>
  <c r="E13" i="8"/>
  <c r="C13" i="8"/>
  <c r="B13" i="8"/>
  <c r="N12" i="8"/>
  <c r="I12" i="8"/>
  <c r="E12" i="8"/>
  <c r="F12" i="8" s="1"/>
  <c r="H12" i="8" s="1"/>
  <c r="D12" i="8"/>
  <c r="D13" i="8" s="1"/>
  <c r="D14" i="8" s="1"/>
  <c r="D15" i="8" s="1"/>
  <c r="C12" i="8"/>
  <c r="B12" i="8"/>
  <c r="N11" i="8"/>
  <c r="E11" i="8"/>
  <c r="F11" i="8" s="1"/>
  <c r="H11" i="8" s="1"/>
  <c r="D11" i="8"/>
  <c r="C11" i="8"/>
  <c r="B11" i="8"/>
  <c r="M5" i="8"/>
  <c r="K5" i="8"/>
  <c r="B173" i="7"/>
  <c r="C173" i="7"/>
  <c r="E173" i="7"/>
  <c r="N173" i="7"/>
  <c r="K171" i="7"/>
  <c r="D91" i="2"/>
  <c r="B104" i="2"/>
  <c r="D66" i="2"/>
  <c r="B88" i="2"/>
  <c r="D88" i="2"/>
  <c r="K174" i="7" l="1"/>
  <c r="L174" i="7"/>
  <c r="F31" i="8"/>
  <c r="H31" i="8" s="1"/>
  <c r="F204" i="8"/>
  <c r="H204" i="8" s="1"/>
  <c r="K142" i="8" a="1"/>
  <c r="K142" i="8" s="1"/>
  <c r="L142" i="8" s="1"/>
  <c r="M142" i="8" s="1"/>
  <c r="P142" i="8" s="1"/>
  <c r="F218" i="8"/>
  <c r="H218" i="8" s="1"/>
  <c r="L218" i="8" s="1"/>
  <c r="M218" i="8" s="1"/>
  <c r="P218" i="8" s="1"/>
  <c r="F194" i="8"/>
  <c r="H194" i="8" s="1"/>
  <c r="L194" i="8" s="1"/>
  <c r="M194" i="8" s="1"/>
  <c r="P194" i="8" s="1"/>
  <c r="F32" i="8"/>
  <c r="H32" i="8" s="1"/>
  <c r="K32" i="8" s="1"/>
  <c r="L32" i="8" s="1"/>
  <c r="M32" i="8" s="1"/>
  <c r="P32" i="8" s="1"/>
  <c r="K139" i="8" a="1"/>
  <c r="K139" i="8" s="1"/>
  <c r="L139" i="8" s="1"/>
  <c r="M139" i="8" s="1"/>
  <c r="P139" i="8" s="1"/>
  <c r="K195" i="8" a="1"/>
  <c r="K195" i="8" s="1"/>
  <c r="L195" i="8" s="1"/>
  <c r="M195" i="8" s="1"/>
  <c r="F189" i="8"/>
  <c r="H189" i="8" s="1"/>
  <c r="L189" i="8" s="1"/>
  <c r="M189" i="8" s="1"/>
  <c r="P189" i="8" s="1"/>
  <c r="L7" i="10"/>
  <c r="M7" i="10" s="1"/>
  <c r="K144" i="8" a="1"/>
  <c r="K144" i="8" s="1"/>
  <c r="L144" i="8" s="1"/>
  <c r="M144" i="8" s="1"/>
  <c r="P144" i="8" s="1"/>
  <c r="F109" i="8"/>
  <c r="H109" i="8" s="1"/>
  <c r="L109" i="8" s="1"/>
  <c r="M109" i="8" s="1"/>
  <c r="K111" i="8" a="1"/>
  <c r="K111" i="8" s="1"/>
  <c r="L111" i="8" s="1"/>
  <c r="M111" i="8" s="1"/>
  <c r="P111" i="8" s="1"/>
  <c r="F221" i="8"/>
  <c r="H221" i="8" s="1"/>
  <c r="L221" i="8" s="1"/>
  <c r="M221" i="8" s="1"/>
  <c r="P221" i="8" s="1"/>
  <c r="K132" i="8" a="1"/>
  <c r="K132" i="8" s="1"/>
  <c r="L132" i="8" s="1"/>
  <c r="M132" i="8" s="1"/>
  <c r="K193" i="8" a="1"/>
  <c r="K193" i="8" s="1"/>
  <c r="L193" i="8" s="1"/>
  <c r="M193" i="8" s="1"/>
  <c r="P193" i="8" s="1"/>
  <c r="K88" i="8" a="1"/>
  <c r="K88" i="8" s="1"/>
  <c r="L88" i="8" s="1"/>
  <c r="M88" i="8" s="1"/>
  <c r="P88" i="8" s="1"/>
  <c r="K140" i="8" a="1"/>
  <c r="K140" i="8" s="1"/>
  <c r="L140" i="8" s="1"/>
  <c r="M140" i="8" s="1"/>
  <c r="P140" i="8" s="1"/>
  <c r="K175" i="8"/>
  <c r="P175" i="8" s="1"/>
  <c r="F84" i="8"/>
  <c r="H84" i="8" s="1"/>
  <c r="L84" i="8" s="1"/>
  <c r="M84" i="8" s="1"/>
  <c r="K143" i="8" a="1"/>
  <c r="K143" i="8" s="1"/>
  <c r="F219" i="8"/>
  <c r="H219" i="8" s="1"/>
  <c r="L219" i="8" s="1"/>
  <c r="M219" i="8" s="1"/>
  <c r="P219" i="8" s="1"/>
  <c r="F87" i="8"/>
  <c r="H87" i="8" s="1"/>
  <c r="L87" i="8" s="1"/>
  <c r="M87" i="8" s="1"/>
  <c r="P87" i="8" s="1"/>
  <c r="K89" i="8" a="1"/>
  <c r="K89" i="8" s="1"/>
  <c r="L89" i="8" s="1"/>
  <c r="M89" i="8" s="1"/>
  <c r="P89" i="8" s="1"/>
  <c r="F137" i="8"/>
  <c r="H137" i="8" s="1"/>
  <c r="L137" i="8" s="1"/>
  <c r="M137" i="8" s="1"/>
  <c r="L169" i="8"/>
  <c r="M169" i="8" s="1"/>
  <c r="P169" i="8" s="1"/>
  <c r="K110" i="8" a="1"/>
  <c r="K110" i="8" s="1"/>
  <c r="L110" i="8" s="1"/>
  <c r="M110" i="8" s="1"/>
  <c r="P110" i="8" s="1"/>
  <c r="K48" i="8"/>
  <c r="L48" i="8" s="1"/>
  <c r="M48" i="8" s="1"/>
  <c r="K165" i="8"/>
  <c r="L165" i="8" s="1"/>
  <c r="M165" i="8" s="1"/>
  <c r="K29" i="8"/>
  <c r="K76" i="8"/>
  <c r="L76" i="8" s="1"/>
  <c r="M76" i="8" s="1"/>
  <c r="K168" i="8"/>
  <c r="L168" i="8" s="1"/>
  <c r="M168" i="8" s="1"/>
  <c r="P168" i="8" s="1"/>
  <c r="K166" i="8"/>
  <c r="K47" i="8"/>
  <c r="L47" i="8" s="1"/>
  <c r="M47" i="8" s="1"/>
  <c r="K164" i="8"/>
  <c r="L164" i="8" s="1"/>
  <c r="M164" i="8" s="1"/>
  <c r="K172" i="8"/>
  <c r="L172" i="8" s="1"/>
  <c r="M172" i="8" s="1"/>
  <c r="P172" i="8" s="1"/>
  <c r="K12" i="8"/>
  <c r="K14" i="8"/>
  <c r="L14" i="8" s="1"/>
  <c r="M14" i="8" s="1"/>
  <c r="P14" i="8" s="1"/>
  <c r="L53" i="8"/>
  <c r="M53" i="8" s="1"/>
  <c r="P53" i="8" s="1"/>
  <c r="K83" i="8"/>
  <c r="L83" i="8" s="1"/>
  <c r="M83" i="8" s="1"/>
  <c r="P83" i="8" s="1"/>
  <c r="K51" i="8"/>
  <c r="L51" i="8" s="1"/>
  <c r="M51" i="8" s="1"/>
  <c r="F86" i="8"/>
  <c r="H86" i="8" s="1"/>
  <c r="K86" i="8" a="1"/>
  <c r="K86" i="8" s="1"/>
  <c r="K11" i="8"/>
  <c r="L11" i="8" s="1"/>
  <c r="M11" i="8" s="1"/>
  <c r="K46" i="8"/>
  <c r="L46" i="8" s="1"/>
  <c r="M46" i="8" s="1"/>
  <c r="P46" i="8" s="1"/>
  <c r="L54" i="8"/>
  <c r="M54" i="8" s="1"/>
  <c r="P54" i="8" s="1"/>
  <c r="K171" i="8"/>
  <c r="L204" i="8"/>
  <c r="M204" i="8" s="1"/>
  <c r="P204" i="8" s="1"/>
  <c r="K52" i="8"/>
  <c r="L52" i="8" s="1"/>
  <c r="M52" i="8" s="1"/>
  <c r="L174" i="8"/>
  <c r="K141" i="8" a="1"/>
  <c r="K141" i="8" s="1"/>
  <c r="F13" i="8"/>
  <c r="H13" i="8" s="1"/>
  <c r="L163" i="8"/>
  <c r="M163" i="8" s="1"/>
  <c r="P163" i="8" s="1"/>
  <c r="L30" i="8"/>
  <c r="M30" i="8" s="1"/>
  <c r="P30" i="8" s="1"/>
  <c r="D34" i="8"/>
  <c r="L176" i="8"/>
  <c r="M176" i="8" s="1"/>
  <c r="K176" i="8"/>
  <c r="K85" i="8" a="1"/>
  <c r="K85" i="8" s="1"/>
  <c r="K217" i="8" a="1"/>
  <c r="K217" i="8" s="1"/>
  <c r="P217" i="8" s="1"/>
  <c r="K31" i="8"/>
  <c r="D33" i="8"/>
  <c r="L167" i="8"/>
  <c r="M167" i="8" s="1"/>
  <c r="P167" i="8" s="1"/>
  <c r="P173" i="8"/>
  <c r="K191" i="8" a="1"/>
  <c r="K191" i="8" s="1"/>
  <c r="F191" i="8"/>
  <c r="H191" i="8" s="1"/>
  <c r="K170" i="8"/>
  <c r="L81" i="8"/>
  <c r="M81" i="8" s="1"/>
  <c r="P81" i="8" s="1"/>
  <c r="F136" i="8"/>
  <c r="H136" i="8" s="1"/>
  <c r="F138" i="8"/>
  <c r="H138" i="8" s="1"/>
  <c r="K50" i="8"/>
  <c r="F77" i="8"/>
  <c r="H77" i="8" s="1"/>
  <c r="D78" i="8"/>
  <c r="F15" i="8"/>
  <c r="H15" i="8" s="1"/>
  <c r="D16" i="8"/>
  <c r="F16" i="8" s="1"/>
  <c r="H16" i="8" s="1"/>
  <c r="K135" i="8" a="1"/>
  <c r="K135" i="8" s="1"/>
  <c r="F135" i="8"/>
  <c r="H135" i="8" s="1"/>
  <c r="K49" i="8"/>
  <c r="L49" i="8" s="1"/>
  <c r="M49" i="8" s="1"/>
  <c r="F147" i="8"/>
  <c r="H147" i="8" s="1"/>
  <c r="K147" i="8" a="1"/>
  <c r="K147" i="8" s="1"/>
  <c r="F192" i="8"/>
  <c r="H192" i="8" s="1"/>
  <c r="K82" i="8"/>
  <c r="L82" i="8" s="1"/>
  <c r="M82" i="8" s="1"/>
  <c r="F190" i="8"/>
  <c r="H190" i="8" s="1"/>
  <c r="F90" i="8"/>
  <c r="H90" i="8" s="1"/>
  <c r="F112" i="8"/>
  <c r="H112" i="8" s="1"/>
  <c r="F133" i="8"/>
  <c r="H133" i="8" s="1"/>
  <c r="F145" i="8"/>
  <c r="H145" i="8" s="1"/>
  <c r="F220" i="8"/>
  <c r="H220" i="8" s="1"/>
  <c r="F91" i="8"/>
  <c r="H91" i="8" s="1"/>
  <c r="F134" i="8"/>
  <c r="H134" i="8" s="1"/>
  <c r="F146" i="8"/>
  <c r="H146" i="8" s="1"/>
  <c r="F173" i="7"/>
  <c r="H173" i="7" s="1"/>
  <c r="L173" i="7" s="1"/>
  <c r="M173" i="7" s="1"/>
  <c r="E202" i="7"/>
  <c r="K202" i="7" s="1" a="1"/>
  <c r="K202" i="7" s="1"/>
  <c r="C202" i="7"/>
  <c r="B202" i="7"/>
  <c r="M197" i="7"/>
  <c r="L197" i="7"/>
  <c r="E192" i="7"/>
  <c r="K192" i="7" s="1" a="1"/>
  <c r="K192" i="7" s="1"/>
  <c r="C192" i="7"/>
  <c r="B192" i="7"/>
  <c r="E191" i="7"/>
  <c r="K191" i="7" s="1" a="1"/>
  <c r="K191" i="7" s="1"/>
  <c r="C191" i="7"/>
  <c r="B191" i="7"/>
  <c r="E190" i="7"/>
  <c r="F190" i="7" s="1"/>
  <c r="H190" i="7" s="1"/>
  <c r="C190" i="7"/>
  <c r="B190" i="7"/>
  <c r="E189" i="7"/>
  <c r="F189" i="7" s="1"/>
  <c r="H189" i="7" s="1"/>
  <c r="C189" i="7"/>
  <c r="B189" i="7"/>
  <c r="E188" i="7"/>
  <c r="F188" i="7" s="1"/>
  <c r="H188" i="7" s="1"/>
  <c r="C188" i="7"/>
  <c r="B188" i="7"/>
  <c r="E187" i="7"/>
  <c r="K187" i="7" s="1" a="1"/>
  <c r="K187" i="7" s="1"/>
  <c r="C187" i="7"/>
  <c r="B187" i="7"/>
  <c r="E186" i="7"/>
  <c r="K186" i="7" s="1" a="1"/>
  <c r="K186" i="7" s="1"/>
  <c r="D186" i="7"/>
  <c r="C186" i="7"/>
  <c r="B186" i="7"/>
  <c r="N172" i="7"/>
  <c r="E172" i="7"/>
  <c r="F172" i="7" s="1"/>
  <c r="H172" i="7" s="1"/>
  <c r="C172" i="7"/>
  <c r="B172" i="7"/>
  <c r="N171" i="7"/>
  <c r="E171" i="7"/>
  <c r="F171" i="7" s="1"/>
  <c r="H171" i="7" s="1"/>
  <c r="C171" i="7"/>
  <c r="B171" i="7"/>
  <c r="N170" i="7"/>
  <c r="E170" i="7"/>
  <c r="C170" i="7"/>
  <c r="B170" i="7"/>
  <c r="N169" i="7"/>
  <c r="E169" i="7"/>
  <c r="C169" i="7"/>
  <c r="B169" i="7"/>
  <c r="N168" i="7"/>
  <c r="E168" i="7"/>
  <c r="C168" i="7"/>
  <c r="B168" i="7"/>
  <c r="N167" i="7"/>
  <c r="E167" i="7"/>
  <c r="C167" i="7"/>
  <c r="B167" i="7"/>
  <c r="N166" i="7"/>
  <c r="E166" i="7"/>
  <c r="C166" i="7"/>
  <c r="B166" i="7"/>
  <c r="N165" i="7"/>
  <c r="E165" i="7"/>
  <c r="C165" i="7"/>
  <c r="B165" i="7"/>
  <c r="N164" i="7"/>
  <c r="E164" i="7"/>
  <c r="C164" i="7"/>
  <c r="B164" i="7"/>
  <c r="N163" i="7"/>
  <c r="E163" i="7"/>
  <c r="C163" i="7"/>
  <c r="B163" i="7"/>
  <c r="N162" i="7"/>
  <c r="E162" i="7"/>
  <c r="F162" i="7" s="1"/>
  <c r="H162" i="7" s="1"/>
  <c r="C162" i="7"/>
  <c r="B162" i="7"/>
  <c r="N161" i="7"/>
  <c r="E161" i="7"/>
  <c r="F161" i="7" s="1"/>
  <c r="H161" i="7" s="1"/>
  <c r="C161" i="7"/>
  <c r="B161" i="7"/>
  <c r="N160" i="7"/>
  <c r="E160" i="7"/>
  <c r="F160" i="7" s="1"/>
  <c r="H160" i="7" s="1"/>
  <c r="C160" i="7"/>
  <c r="B160" i="7"/>
  <c r="C155" i="7"/>
  <c r="C181" i="7" s="1"/>
  <c r="C196" i="7" s="1"/>
  <c r="N144" i="7"/>
  <c r="E144" i="7"/>
  <c r="C144" i="7"/>
  <c r="B144" i="7"/>
  <c r="N143" i="7"/>
  <c r="E143" i="7"/>
  <c r="K143" i="7" s="1" a="1"/>
  <c r="K143" i="7" s="1"/>
  <c r="C143" i="7"/>
  <c r="B143" i="7"/>
  <c r="N142" i="7"/>
  <c r="E142" i="7"/>
  <c r="K142" i="7" s="1" a="1"/>
  <c r="K142" i="7" s="1"/>
  <c r="C142" i="7"/>
  <c r="B142" i="7"/>
  <c r="N141" i="7"/>
  <c r="E141" i="7"/>
  <c r="F141" i="7" s="1"/>
  <c r="H141" i="7" s="1"/>
  <c r="C141" i="7"/>
  <c r="B141" i="7"/>
  <c r="N140" i="7"/>
  <c r="E140" i="7"/>
  <c r="K140" i="7" s="1" a="1"/>
  <c r="K140" i="7" s="1"/>
  <c r="C140" i="7"/>
  <c r="B140" i="7"/>
  <c r="N139" i="7"/>
  <c r="E139" i="7"/>
  <c r="C139" i="7"/>
  <c r="B139" i="7"/>
  <c r="N138" i="7"/>
  <c r="E138" i="7"/>
  <c r="K138" i="7" s="1" a="1"/>
  <c r="K138" i="7" s="1"/>
  <c r="C138" i="7"/>
  <c r="B138" i="7"/>
  <c r="N137" i="7"/>
  <c r="E137" i="7"/>
  <c r="F137" i="7" s="1"/>
  <c r="H137" i="7" s="1"/>
  <c r="C137" i="7"/>
  <c r="B137" i="7"/>
  <c r="N136" i="7"/>
  <c r="E136" i="7"/>
  <c r="F136" i="7" s="1"/>
  <c r="H136" i="7" s="1"/>
  <c r="C136" i="7"/>
  <c r="B136" i="7"/>
  <c r="N135" i="7"/>
  <c r="E135" i="7"/>
  <c r="F135" i="7" s="1"/>
  <c r="H135" i="7" s="1"/>
  <c r="C135" i="7"/>
  <c r="B135" i="7"/>
  <c r="N134" i="7"/>
  <c r="E134" i="7"/>
  <c r="K134" i="7" s="1" a="1"/>
  <c r="K134" i="7" s="1"/>
  <c r="C134" i="7"/>
  <c r="B134" i="7"/>
  <c r="N133" i="7"/>
  <c r="E133" i="7"/>
  <c r="K133" i="7" s="1" a="1"/>
  <c r="K133" i="7" s="1"/>
  <c r="C133" i="7"/>
  <c r="B133" i="7"/>
  <c r="N132" i="7"/>
  <c r="E132" i="7"/>
  <c r="K132" i="7" s="1" a="1"/>
  <c r="K132" i="7" s="1"/>
  <c r="C132" i="7"/>
  <c r="B132" i="7"/>
  <c r="N131" i="7"/>
  <c r="E131" i="7"/>
  <c r="C131" i="7"/>
  <c r="B131" i="7"/>
  <c r="N130" i="7"/>
  <c r="E130" i="7"/>
  <c r="K130" i="7" s="1" a="1"/>
  <c r="K130" i="7" s="1"/>
  <c r="C130" i="7"/>
  <c r="B130" i="7"/>
  <c r="N129" i="7"/>
  <c r="E129" i="7"/>
  <c r="K129" i="7" s="1" a="1"/>
  <c r="K129" i="7" s="1"/>
  <c r="C129" i="7"/>
  <c r="B129" i="7"/>
  <c r="N109" i="7"/>
  <c r="E109" i="7"/>
  <c r="F109" i="7" s="1"/>
  <c r="H109" i="7" s="1"/>
  <c r="C109" i="7"/>
  <c r="B109" i="7"/>
  <c r="N108" i="7"/>
  <c r="E108" i="7"/>
  <c r="K108" i="7" s="1" a="1"/>
  <c r="K108" i="7" s="1"/>
  <c r="C108" i="7"/>
  <c r="B108" i="7"/>
  <c r="N107" i="7"/>
  <c r="E107" i="7"/>
  <c r="K107" i="7" s="1" a="1"/>
  <c r="K107" i="7" s="1"/>
  <c r="C107" i="7"/>
  <c r="B107" i="7"/>
  <c r="N106" i="7"/>
  <c r="E106" i="7"/>
  <c r="K106" i="7" s="1" a="1"/>
  <c r="K106" i="7" s="1"/>
  <c r="C106" i="7"/>
  <c r="B106" i="7"/>
  <c r="M102" i="7"/>
  <c r="L102" i="7"/>
  <c r="C101" i="7"/>
  <c r="N88" i="7"/>
  <c r="E88" i="7"/>
  <c r="F88" i="7" s="1"/>
  <c r="H88" i="7" s="1"/>
  <c r="C88" i="7"/>
  <c r="B88" i="7"/>
  <c r="N87" i="7"/>
  <c r="E87" i="7"/>
  <c r="F87" i="7" s="1"/>
  <c r="H87" i="7" s="1"/>
  <c r="C87" i="7"/>
  <c r="B87" i="7"/>
  <c r="N86" i="7"/>
  <c r="E86" i="7"/>
  <c r="F86" i="7" s="1"/>
  <c r="H86" i="7" s="1"/>
  <c r="C86" i="7"/>
  <c r="B86" i="7"/>
  <c r="N85" i="7"/>
  <c r="E85" i="7"/>
  <c r="K85" i="7" s="1" a="1"/>
  <c r="K85" i="7" s="1"/>
  <c r="C85" i="7"/>
  <c r="B85" i="7"/>
  <c r="N84" i="7"/>
  <c r="E84" i="7"/>
  <c r="F84" i="7" s="1"/>
  <c r="H84" i="7" s="1"/>
  <c r="C84" i="7"/>
  <c r="B84" i="7"/>
  <c r="N83" i="7"/>
  <c r="E83" i="7"/>
  <c r="K83" i="7" s="1" a="1"/>
  <c r="K83" i="7" s="1"/>
  <c r="C83" i="7"/>
  <c r="B83" i="7"/>
  <c r="N82" i="7"/>
  <c r="E82" i="7"/>
  <c r="K82" i="7" s="1" a="1"/>
  <c r="K82" i="7" s="1"/>
  <c r="C82" i="7"/>
  <c r="B82" i="7"/>
  <c r="N81" i="7"/>
  <c r="E81" i="7"/>
  <c r="K81" i="7" s="1" a="1"/>
  <c r="K81" i="7" s="1"/>
  <c r="C81" i="7"/>
  <c r="B81" i="7"/>
  <c r="N80" i="7"/>
  <c r="E80" i="7"/>
  <c r="F80" i="7" s="1"/>
  <c r="H80" i="7" s="1"/>
  <c r="C80" i="7"/>
  <c r="B80" i="7"/>
  <c r="N79" i="7"/>
  <c r="E79" i="7"/>
  <c r="F79" i="7" s="1"/>
  <c r="H79" i="7" s="1"/>
  <c r="C79" i="7"/>
  <c r="B79" i="7"/>
  <c r="N78" i="7"/>
  <c r="E78" i="7"/>
  <c r="F78" i="7" s="1"/>
  <c r="H78" i="7" s="1"/>
  <c r="C78" i="7"/>
  <c r="B78" i="7"/>
  <c r="N77" i="7"/>
  <c r="E77" i="7"/>
  <c r="C77" i="7"/>
  <c r="B77" i="7"/>
  <c r="N76" i="7"/>
  <c r="E76" i="7"/>
  <c r="C76" i="7"/>
  <c r="B76" i="7"/>
  <c r="N75" i="7"/>
  <c r="E75" i="7"/>
  <c r="C75" i="7"/>
  <c r="B75" i="7"/>
  <c r="N74" i="7"/>
  <c r="E74" i="7"/>
  <c r="C74" i="7"/>
  <c r="B74" i="7"/>
  <c r="M70" i="7"/>
  <c r="D74" i="7" s="1"/>
  <c r="L70" i="7"/>
  <c r="C69" i="7"/>
  <c r="N52" i="7"/>
  <c r="E52" i="7"/>
  <c r="F52" i="7" s="1"/>
  <c r="H52" i="7" s="1"/>
  <c r="C52" i="7"/>
  <c r="B52" i="7"/>
  <c r="N51" i="7"/>
  <c r="E51" i="7"/>
  <c r="F51" i="7" s="1"/>
  <c r="H51" i="7" s="1"/>
  <c r="C51" i="7"/>
  <c r="B51" i="7"/>
  <c r="N50" i="7"/>
  <c r="E50" i="7"/>
  <c r="F50" i="7" s="1"/>
  <c r="H50" i="7" s="1"/>
  <c r="K50" i="7" s="1"/>
  <c r="C50" i="7"/>
  <c r="B50" i="7"/>
  <c r="N49" i="7"/>
  <c r="E49" i="7"/>
  <c r="F49" i="7" s="1"/>
  <c r="H49" i="7" s="1"/>
  <c r="C49" i="7"/>
  <c r="B49" i="7"/>
  <c r="N48" i="7"/>
  <c r="E48" i="7"/>
  <c r="F48" i="7" s="1"/>
  <c r="H48" i="7" s="1"/>
  <c r="C48" i="7"/>
  <c r="B48" i="7"/>
  <c r="N47" i="7"/>
  <c r="E47" i="7"/>
  <c r="F47" i="7" s="1"/>
  <c r="H47" i="7" s="1"/>
  <c r="C47" i="7"/>
  <c r="B47" i="7"/>
  <c r="N46" i="7"/>
  <c r="E46" i="7"/>
  <c r="F46" i="7" s="1"/>
  <c r="H46" i="7" s="1"/>
  <c r="C46" i="7"/>
  <c r="B46" i="7"/>
  <c r="N45" i="7"/>
  <c r="E45" i="7"/>
  <c r="F45" i="7" s="1"/>
  <c r="H45" i="7" s="1"/>
  <c r="C45" i="7"/>
  <c r="B45" i="7"/>
  <c r="N44" i="7"/>
  <c r="E44" i="7"/>
  <c r="C44" i="7"/>
  <c r="B44" i="7"/>
  <c r="N43" i="7"/>
  <c r="E43" i="7"/>
  <c r="C43" i="7"/>
  <c r="B43" i="7"/>
  <c r="N42" i="7"/>
  <c r="E42" i="7"/>
  <c r="C42" i="7"/>
  <c r="B42" i="7"/>
  <c r="N41" i="7"/>
  <c r="E41" i="7"/>
  <c r="C41" i="7"/>
  <c r="B41" i="7"/>
  <c r="N40" i="7"/>
  <c r="E40" i="7"/>
  <c r="C40" i="7"/>
  <c r="B40" i="7"/>
  <c r="N39" i="7"/>
  <c r="E39" i="7"/>
  <c r="C39" i="7"/>
  <c r="B39" i="7"/>
  <c r="N38" i="7"/>
  <c r="E38" i="7"/>
  <c r="C38" i="7"/>
  <c r="B38" i="7"/>
  <c r="N37" i="7"/>
  <c r="E37" i="7"/>
  <c r="C37" i="7"/>
  <c r="B37" i="7"/>
  <c r="N36" i="7"/>
  <c r="E36" i="7"/>
  <c r="C36" i="7"/>
  <c r="B36" i="7"/>
  <c r="N35" i="7"/>
  <c r="E35" i="7"/>
  <c r="C35" i="7"/>
  <c r="B35" i="7"/>
  <c r="N34" i="7"/>
  <c r="E34" i="7"/>
  <c r="C34" i="7"/>
  <c r="B34" i="7"/>
  <c r="N33" i="7"/>
  <c r="E33" i="7"/>
  <c r="C33" i="7"/>
  <c r="B33" i="7"/>
  <c r="N32" i="7"/>
  <c r="E32" i="7"/>
  <c r="D32" i="7"/>
  <c r="C32" i="7"/>
  <c r="B32" i="7"/>
  <c r="N31" i="7"/>
  <c r="E31" i="7"/>
  <c r="D31" i="7"/>
  <c r="C31" i="7"/>
  <c r="B31" i="7"/>
  <c r="N30" i="7"/>
  <c r="E30" i="7"/>
  <c r="F30" i="7" s="1"/>
  <c r="H30" i="7" s="1"/>
  <c r="K30" i="7" s="1"/>
  <c r="C30" i="7"/>
  <c r="B30" i="7"/>
  <c r="N29" i="7"/>
  <c r="E29" i="7"/>
  <c r="F29" i="7" s="1"/>
  <c r="H29" i="7" s="1"/>
  <c r="C29" i="7"/>
  <c r="B29" i="7"/>
  <c r="M26" i="7"/>
  <c r="L26" i="7"/>
  <c r="C25" i="7"/>
  <c r="N16" i="7"/>
  <c r="E16" i="7"/>
  <c r="C16" i="7"/>
  <c r="B16" i="7"/>
  <c r="N15" i="7"/>
  <c r="E15" i="7"/>
  <c r="C15" i="7"/>
  <c r="B15" i="7"/>
  <c r="N14" i="7"/>
  <c r="E14" i="7"/>
  <c r="C14" i="7"/>
  <c r="B14" i="7"/>
  <c r="N13" i="7"/>
  <c r="I13" i="7"/>
  <c r="E13" i="7"/>
  <c r="C13" i="7"/>
  <c r="B13" i="7"/>
  <c r="N12" i="7"/>
  <c r="I12" i="7"/>
  <c r="E12" i="7"/>
  <c r="C12" i="7"/>
  <c r="B12" i="7"/>
  <c r="N11" i="7"/>
  <c r="E11" i="7"/>
  <c r="D11" i="7"/>
  <c r="D12" i="7" s="1"/>
  <c r="D13" i="7" s="1"/>
  <c r="C11" i="7"/>
  <c r="B11" i="7"/>
  <c r="M5" i="7"/>
  <c r="M68" i="7" s="1"/>
  <c r="M100" i="7" s="1"/>
  <c r="M124" i="7" s="1"/>
  <c r="M154" i="7" s="1"/>
  <c r="M180" i="7" s="1"/>
  <c r="M195" i="7" s="1"/>
  <c r="K68" i="7"/>
  <c r="K100" i="7" s="1"/>
  <c r="K124" i="7" s="1"/>
  <c r="K154" i="7" s="1"/>
  <c r="K180" i="7" s="1"/>
  <c r="K195" i="7" s="1"/>
  <c r="B86" i="2"/>
  <c r="B87" i="2"/>
  <c r="B89" i="2"/>
  <c r="B90" i="2"/>
  <c r="M174" i="7" l="1"/>
  <c r="O174" i="7"/>
  <c r="P176" i="8"/>
  <c r="K45" i="7"/>
  <c r="L45" i="7" s="1"/>
  <c r="P84" i="8"/>
  <c r="P137" i="8"/>
  <c r="P195" i="8"/>
  <c r="P132" i="8"/>
  <c r="P109" i="8"/>
  <c r="D202" i="7"/>
  <c r="F202" i="7" s="1"/>
  <c r="H202" i="7" s="1"/>
  <c r="L202" i="7" s="1"/>
  <c r="M202" i="7" s="1"/>
  <c r="P202" i="7" s="1"/>
  <c r="F201" i="7"/>
  <c r="H201" i="7" s="1"/>
  <c r="K29" i="7"/>
  <c r="L29" i="7" s="1"/>
  <c r="P7" i="10"/>
  <c r="P52" i="8"/>
  <c r="P51" i="8"/>
  <c r="L29" i="8"/>
  <c r="M29" i="8" s="1"/>
  <c r="P29" i="8" s="1"/>
  <c r="P47" i="8"/>
  <c r="L141" i="8"/>
  <c r="M141" i="8" s="1"/>
  <c r="P141" i="8" s="1"/>
  <c r="P48" i="8"/>
  <c r="L143" i="8"/>
  <c r="M143" i="8" s="1"/>
  <c r="P143" i="8" s="1"/>
  <c r="L133" i="8"/>
  <c r="M133" i="8" s="1"/>
  <c r="P133" i="8" s="1"/>
  <c r="P82" i="8"/>
  <c r="L138" i="8"/>
  <c r="M138" i="8" s="1"/>
  <c r="P138" i="8" s="1"/>
  <c r="D35" i="8"/>
  <c r="F33" i="8"/>
  <c r="H33" i="8" s="1"/>
  <c r="F34" i="8"/>
  <c r="H34" i="8" s="1"/>
  <c r="D36" i="8"/>
  <c r="L171" i="8"/>
  <c r="M171" i="8" s="1"/>
  <c r="P171" i="8" s="1"/>
  <c r="P164" i="8"/>
  <c r="K13" i="8"/>
  <c r="L13" i="8" s="1"/>
  <c r="M13" i="8" s="1"/>
  <c r="L147" i="8"/>
  <c r="M147" i="8" s="1"/>
  <c r="P147" i="8" s="1"/>
  <c r="L90" i="8"/>
  <c r="M90" i="8" s="1"/>
  <c r="P90" i="8" s="1"/>
  <c r="L190" i="8"/>
  <c r="M190" i="8" s="1"/>
  <c r="P190" i="8" s="1"/>
  <c r="P165" i="8"/>
  <c r="L136" i="8"/>
  <c r="M136" i="8" s="1"/>
  <c r="P136" i="8" s="1"/>
  <c r="L134" i="8"/>
  <c r="M134" i="8" s="1"/>
  <c r="P134" i="8" s="1"/>
  <c r="L31" i="8"/>
  <c r="M31" i="8" s="1"/>
  <c r="P31" i="8" s="1"/>
  <c r="L12" i="8"/>
  <c r="M12" i="8" s="1"/>
  <c r="P12" i="8" s="1"/>
  <c r="L166" i="8"/>
  <c r="M166" i="8" s="1"/>
  <c r="P166" i="8" s="1"/>
  <c r="D79" i="8"/>
  <c r="F78" i="8"/>
  <c r="H78" i="8" s="1"/>
  <c r="L191" i="8"/>
  <c r="M191" i="8" s="1"/>
  <c r="P191" i="8" s="1"/>
  <c r="P11" i="8"/>
  <c r="P49" i="8"/>
  <c r="L135" i="8"/>
  <c r="M135" i="8" s="1"/>
  <c r="P135" i="8" s="1"/>
  <c r="L50" i="8"/>
  <c r="M50" i="8" s="1"/>
  <c r="P50" i="8" s="1"/>
  <c r="L86" i="8"/>
  <c r="M86" i="8" s="1"/>
  <c r="P86" i="8" s="1"/>
  <c r="O174" i="8"/>
  <c r="M174" i="8"/>
  <c r="P174" i="8" s="1"/>
  <c r="L91" i="8"/>
  <c r="M91" i="8" s="1"/>
  <c r="P91" i="8" s="1"/>
  <c r="K16" i="8"/>
  <c r="L85" i="8"/>
  <c r="M85" i="8" s="1"/>
  <c r="P85" i="8" s="1"/>
  <c r="L220" i="8"/>
  <c r="M220" i="8" s="1"/>
  <c r="P220" i="8" s="1"/>
  <c r="K15" i="8"/>
  <c r="L15" i="8" s="1"/>
  <c r="M15" i="8" s="1"/>
  <c r="L170" i="8"/>
  <c r="M170" i="8" s="1"/>
  <c r="P170" i="8" s="1"/>
  <c r="L112" i="8"/>
  <c r="M112" i="8" s="1"/>
  <c r="P112" i="8" s="1"/>
  <c r="K77" i="8"/>
  <c r="P76" i="8"/>
  <c r="L146" i="8"/>
  <c r="M146" i="8" s="1"/>
  <c r="P146" i="8" s="1"/>
  <c r="L192" i="8"/>
  <c r="M192" i="8" s="1"/>
  <c r="P192" i="8" s="1"/>
  <c r="L145" i="8"/>
  <c r="M145" i="8" s="1"/>
  <c r="P145" i="8" s="1"/>
  <c r="K173" i="7"/>
  <c r="P173" i="7" s="1"/>
  <c r="D75" i="7"/>
  <c r="F32" i="7"/>
  <c r="H32" i="7" s="1"/>
  <c r="K32" i="7" s="1"/>
  <c r="F11" i="7"/>
  <c r="H11" i="7" s="1"/>
  <c r="K11" i="7" s="1"/>
  <c r="F12" i="7"/>
  <c r="H12" i="7" s="1"/>
  <c r="K12" i="7" s="1"/>
  <c r="L12" i="7" s="1"/>
  <c r="M12" i="7" s="1"/>
  <c r="F163" i="7"/>
  <c r="H163" i="7" s="1"/>
  <c r="K163" i="7" s="1"/>
  <c r="F82" i="7"/>
  <c r="H82" i="7" s="1"/>
  <c r="K87" i="7" a="1"/>
  <c r="K87" i="7" s="1"/>
  <c r="K189" i="7" a="1"/>
  <c r="K189" i="7" s="1"/>
  <c r="L189" i="7" s="1"/>
  <c r="M189" i="7" s="1"/>
  <c r="P189" i="7" s="1"/>
  <c r="F85" i="7"/>
  <c r="H85" i="7" s="1"/>
  <c r="L85" i="7" s="1"/>
  <c r="F108" i="7"/>
  <c r="H108" i="7" s="1"/>
  <c r="L108" i="7" s="1"/>
  <c r="M108" i="7" s="1"/>
  <c r="P108" i="7" s="1"/>
  <c r="K137" i="7" a="1"/>
  <c r="K137" i="7" s="1"/>
  <c r="L137" i="7" s="1"/>
  <c r="M137" i="7" s="1"/>
  <c r="P137" i="7" s="1"/>
  <c r="K88" i="7" a="1"/>
  <c r="K88" i="7" s="1"/>
  <c r="F107" i="7"/>
  <c r="H107" i="7" s="1"/>
  <c r="L107" i="7" s="1"/>
  <c r="M107" i="7" s="1"/>
  <c r="P107" i="7" s="1"/>
  <c r="K109" i="7" a="1"/>
  <c r="K109" i="7" s="1"/>
  <c r="L109" i="7" s="1"/>
  <c r="M109" i="7" s="1"/>
  <c r="P109" i="7" s="1"/>
  <c r="F129" i="7"/>
  <c r="H129" i="7" s="1"/>
  <c r="L129" i="7" s="1"/>
  <c r="M129" i="7" s="1"/>
  <c r="P129" i="7" s="1"/>
  <c r="K188" i="7" a="1"/>
  <c r="K188" i="7" s="1"/>
  <c r="L188" i="7" s="1"/>
  <c r="M188" i="7" s="1"/>
  <c r="P188" i="7" s="1"/>
  <c r="K141" i="7" a="1"/>
  <c r="K141" i="7" s="1"/>
  <c r="L141" i="7" s="1"/>
  <c r="M141" i="7" s="1"/>
  <c r="P141" i="7" s="1"/>
  <c r="K86" i="7" a="1"/>
  <c r="K86" i="7" s="1"/>
  <c r="L86" i="7" s="1"/>
  <c r="F134" i="7"/>
  <c r="H134" i="7" s="1"/>
  <c r="L134" i="7" s="1"/>
  <c r="M134" i="7" s="1"/>
  <c r="K190" i="7" a="1"/>
  <c r="K190" i="7" s="1"/>
  <c r="L190" i="7" s="1"/>
  <c r="M190" i="7" s="1"/>
  <c r="P190" i="7" s="1"/>
  <c r="F31" i="7"/>
  <c r="H31" i="7" s="1"/>
  <c r="K31" i="7" s="1"/>
  <c r="L31" i="7" s="1"/>
  <c r="M31" i="7" s="1"/>
  <c r="K136" i="7" a="1"/>
  <c r="K136" i="7" s="1"/>
  <c r="L136" i="7" s="1"/>
  <c r="M136" i="7" s="1"/>
  <c r="P136" i="7" s="1"/>
  <c r="F140" i="7"/>
  <c r="H140" i="7" s="1"/>
  <c r="F142" i="7"/>
  <c r="H142" i="7" s="1"/>
  <c r="L142" i="7" s="1"/>
  <c r="M142" i="7" s="1"/>
  <c r="P142" i="7" s="1"/>
  <c r="F74" i="7"/>
  <c r="H74" i="7" s="1"/>
  <c r="K74" i="7" s="1"/>
  <c r="K49" i="7"/>
  <c r="L49" i="7" s="1"/>
  <c r="M49" i="7" s="1"/>
  <c r="K46" i="7"/>
  <c r="L46" i="7" s="1"/>
  <c r="M46" i="7" s="1"/>
  <c r="P46" i="7" s="1"/>
  <c r="F165" i="7"/>
  <c r="H165" i="7" s="1"/>
  <c r="L172" i="7"/>
  <c r="M172" i="7" s="1"/>
  <c r="K172" i="7"/>
  <c r="K161" i="7"/>
  <c r="L161" i="7" s="1"/>
  <c r="L171" i="7"/>
  <c r="F13" i="7"/>
  <c r="H13" i="7" s="1"/>
  <c r="D14" i="7"/>
  <c r="F133" i="7"/>
  <c r="H133" i="7" s="1"/>
  <c r="F139" i="7"/>
  <c r="H139" i="7" s="1"/>
  <c r="K139" i="7" a="1"/>
  <c r="K139" i="7" s="1"/>
  <c r="K47" i="7"/>
  <c r="L47" i="7" s="1"/>
  <c r="M47" i="7" s="1"/>
  <c r="K51" i="7"/>
  <c r="L51" i="7" s="1"/>
  <c r="M51" i="7" s="1"/>
  <c r="P51" i="7" s="1"/>
  <c r="F106" i="7"/>
  <c r="H106" i="7" s="1"/>
  <c r="K80" i="7"/>
  <c r="F81" i="7"/>
  <c r="H81" i="7" s="1"/>
  <c r="K162" i="7"/>
  <c r="L162" i="7" s="1"/>
  <c r="M162" i="7" s="1"/>
  <c r="P162" i="7" s="1"/>
  <c r="F164" i="7"/>
  <c r="H164" i="7" s="1"/>
  <c r="K78" i="7"/>
  <c r="L160" i="7"/>
  <c r="F187" i="7"/>
  <c r="H187" i="7" s="1"/>
  <c r="K131" i="7" a="1"/>
  <c r="K131" i="7" s="1"/>
  <c r="F131" i="7"/>
  <c r="H131" i="7" s="1"/>
  <c r="D37" i="7"/>
  <c r="F35" i="7"/>
  <c r="H35" i="7" s="1"/>
  <c r="L52" i="7"/>
  <c r="M52" i="7" s="1"/>
  <c r="P52" i="7" s="1"/>
  <c r="D33" i="7"/>
  <c r="L50" i="7"/>
  <c r="M50" i="7" s="1"/>
  <c r="P50" i="7" s="1"/>
  <c r="F192" i="7"/>
  <c r="H192" i="7" s="1"/>
  <c r="L30" i="7"/>
  <c r="M30" i="7" s="1"/>
  <c r="P30" i="7" s="1"/>
  <c r="F138" i="7"/>
  <c r="H138" i="7" s="1"/>
  <c r="K48" i="7"/>
  <c r="F83" i="7"/>
  <c r="H83" i="7" s="1"/>
  <c r="L83" i="7" s="1"/>
  <c r="K84" i="7" a="1"/>
  <c r="K84" i="7" s="1"/>
  <c r="L84" i="7" s="1"/>
  <c r="F132" i="7"/>
  <c r="H132" i="7" s="1"/>
  <c r="K135" i="7" a="1"/>
  <c r="K135" i="7" s="1"/>
  <c r="L135" i="7" s="1"/>
  <c r="M135" i="7" s="1"/>
  <c r="K144" i="7" a="1"/>
  <c r="K144" i="7" s="1"/>
  <c r="F144" i="7"/>
  <c r="H144" i="7" s="1"/>
  <c r="K79" i="7"/>
  <c r="L79" i="7" s="1"/>
  <c r="F186" i="7"/>
  <c r="H186" i="7" s="1"/>
  <c r="F130" i="7"/>
  <c r="H130" i="7" s="1"/>
  <c r="F143" i="7"/>
  <c r="H143" i="7" s="1"/>
  <c r="F191" i="7"/>
  <c r="H191" i="7" s="1"/>
  <c r="B54" i="5"/>
  <c r="C54" i="5"/>
  <c r="E54" i="5"/>
  <c r="F54" i="5" s="1"/>
  <c r="H54" i="5" s="1"/>
  <c r="N54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65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34" i="5"/>
  <c r="N111" i="5"/>
  <c r="N112" i="5"/>
  <c r="N113" i="5"/>
  <c r="N114" i="5"/>
  <c r="N110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76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12" i="5"/>
  <c r="N13" i="5"/>
  <c r="N14" i="5"/>
  <c r="N15" i="5"/>
  <c r="N16" i="5"/>
  <c r="N11" i="5"/>
  <c r="P174" i="7" l="1"/>
  <c r="M79" i="7"/>
  <c r="O79" i="7"/>
  <c r="M45" i="7"/>
  <c r="O45" i="7"/>
  <c r="M29" i="7"/>
  <c r="O29" i="7"/>
  <c r="L201" i="7"/>
  <c r="M160" i="7"/>
  <c r="O160" i="7"/>
  <c r="D80" i="8"/>
  <c r="F80" i="8" s="1"/>
  <c r="H80" i="8" s="1"/>
  <c r="F79" i="8"/>
  <c r="H79" i="8" s="1"/>
  <c r="P13" i="8"/>
  <c r="L77" i="8"/>
  <c r="M77" i="8" s="1"/>
  <c r="P77" i="8" s="1"/>
  <c r="L16" i="8"/>
  <c r="M16" i="8" s="1"/>
  <c r="P16" i="8" s="1"/>
  <c r="D38" i="8"/>
  <c r="F36" i="8"/>
  <c r="H36" i="8" s="1"/>
  <c r="P15" i="8"/>
  <c r="K33" i="8"/>
  <c r="L33" i="8"/>
  <c r="M33" i="8" s="1"/>
  <c r="K34" i="8"/>
  <c r="L34" i="8" s="1"/>
  <c r="M34" i="8" s="1"/>
  <c r="K78" i="8"/>
  <c r="F35" i="8"/>
  <c r="H35" i="8" s="1"/>
  <c r="D37" i="8"/>
  <c r="M171" i="7"/>
  <c r="O171" i="7"/>
  <c r="F75" i="7"/>
  <c r="H75" i="7" s="1"/>
  <c r="K75" i="7" s="1"/>
  <c r="L82" i="7"/>
  <c r="M82" i="7" s="1"/>
  <c r="P82" i="7" s="1"/>
  <c r="M84" i="7"/>
  <c r="P84" i="7" s="1"/>
  <c r="L88" i="7"/>
  <c r="M88" i="7" s="1"/>
  <c r="P88" i="7" s="1"/>
  <c r="L87" i="7"/>
  <c r="M87" i="7" s="1"/>
  <c r="P87" i="7" s="1"/>
  <c r="L11" i="7"/>
  <c r="P172" i="7"/>
  <c r="M85" i="7"/>
  <c r="P85" i="7" s="1"/>
  <c r="P47" i="7"/>
  <c r="P134" i="7"/>
  <c r="P135" i="7"/>
  <c r="P49" i="7"/>
  <c r="L140" i="7"/>
  <c r="M140" i="7" s="1"/>
  <c r="P140" i="7" s="1"/>
  <c r="L192" i="7"/>
  <c r="L144" i="7"/>
  <c r="M144" i="7" s="1"/>
  <c r="P144" i="7" s="1"/>
  <c r="L74" i="7"/>
  <c r="L32" i="7"/>
  <c r="M32" i="7" s="1"/>
  <c r="P32" i="7" s="1"/>
  <c r="L131" i="7"/>
  <c r="M131" i="7" s="1"/>
  <c r="P131" i="7" s="1"/>
  <c r="L132" i="7"/>
  <c r="L163" i="7"/>
  <c r="M163" i="7" s="1"/>
  <c r="P163" i="7" s="1"/>
  <c r="D34" i="7"/>
  <c r="F33" i="7"/>
  <c r="H33" i="7" s="1"/>
  <c r="K164" i="7"/>
  <c r="L164" i="7" s="1"/>
  <c r="M164" i="7" s="1"/>
  <c r="L106" i="7"/>
  <c r="M106" i="7" s="1"/>
  <c r="P106" i="7" s="1"/>
  <c r="L187" i="7"/>
  <c r="M187" i="7" s="1"/>
  <c r="P187" i="7" s="1"/>
  <c r="L191" i="7"/>
  <c r="M191" i="7" s="1"/>
  <c r="P191" i="7" s="1"/>
  <c r="M83" i="7"/>
  <c r="P83" i="7" s="1"/>
  <c r="L139" i="7"/>
  <c r="M139" i="7" s="1"/>
  <c r="P139" i="7" s="1"/>
  <c r="L143" i="7"/>
  <c r="M143" i="7" s="1"/>
  <c r="P143" i="7" s="1"/>
  <c r="L133" i="7"/>
  <c r="M133" i="7" s="1"/>
  <c r="P133" i="7" s="1"/>
  <c r="M86" i="7"/>
  <c r="L130" i="7"/>
  <c r="M130" i="7" s="1"/>
  <c r="P130" i="7" s="1"/>
  <c r="L48" i="7"/>
  <c r="M48" i="7" s="1"/>
  <c r="P48" i="7" s="1"/>
  <c r="F14" i="7"/>
  <c r="H14" i="7" s="1"/>
  <c r="D15" i="7"/>
  <c r="K165" i="7"/>
  <c r="F166" i="7"/>
  <c r="H166" i="7" s="1"/>
  <c r="L138" i="7"/>
  <c r="M138" i="7" s="1"/>
  <c r="P138" i="7" s="1"/>
  <c r="L81" i="7"/>
  <c r="M81" i="7" s="1"/>
  <c r="P81" i="7" s="1"/>
  <c r="L186" i="7"/>
  <c r="M186" i="7" s="1"/>
  <c r="P186" i="7" s="1"/>
  <c r="K13" i="7"/>
  <c r="L13" i="7" s="1"/>
  <c r="M161" i="7"/>
  <c r="P161" i="7" s="1"/>
  <c r="K35" i="7"/>
  <c r="P12" i="7"/>
  <c r="P31" i="7"/>
  <c r="D39" i="7"/>
  <c r="F37" i="7"/>
  <c r="H37" i="7" s="1"/>
  <c r="L78" i="7"/>
  <c r="M78" i="7" s="1"/>
  <c r="P78" i="7" s="1"/>
  <c r="L80" i="7"/>
  <c r="M80" i="7" s="1"/>
  <c r="P80" i="7" s="1"/>
  <c r="L54" i="5"/>
  <c r="M54" i="5" s="1"/>
  <c r="P54" i="5" s="1"/>
  <c r="M201" i="7" l="1"/>
  <c r="O201" i="7"/>
  <c r="P45" i="7"/>
  <c r="P79" i="7"/>
  <c r="P29" i="7"/>
  <c r="P33" i="8"/>
  <c r="P171" i="7"/>
  <c r="P160" i="7"/>
  <c r="P34" i="8"/>
  <c r="K36" i="8"/>
  <c r="D40" i="8"/>
  <c r="F38" i="8"/>
  <c r="H38" i="8" s="1"/>
  <c r="F37" i="8"/>
  <c r="H37" i="8" s="1"/>
  <c r="D39" i="8"/>
  <c r="K35" i="8"/>
  <c r="L78" i="8"/>
  <c r="M78" i="8" s="1"/>
  <c r="P78" i="8" s="1"/>
  <c r="K80" i="8"/>
  <c r="L80" i="8" s="1"/>
  <c r="M80" i="8" s="1"/>
  <c r="K79" i="8"/>
  <c r="L75" i="7"/>
  <c r="M75" i="7" s="1"/>
  <c r="P75" i="7" s="1"/>
  <c r="M11" i="7"/>
  <c r="P11" i="7" s="1"/>
  <c r="P86" i="7"/>
  <c r="P164" i="7"/>
  <c r="L35" i="7"/>
  <c r="M35" i="7" s="1"/>
  <c r="P35" i="7" s="1"/>
  <c r="K166" i="7"/>
  <c r="K33" i="7"/>
  <c r="L33" i="7" s="1"/>
  <c r="F34" i="7"/>
  <c r="H34" i="7" s="1"/>
  <c r="D36" i="7"/>
  <c r="M74" i="7"/>
  <c r="K37" i="7"/>
  <c r="L165" i="7"/>
  <c r="M165" i="7" s="1"/>
  <c r="P165" i="7" s="1"/>
  <c r="F39" i="7"/>
  <c r="H39" i="7" s="1"/>
  <c r="D41" i="7"/>
  <c r="M13" i="7"/>
  <c r="M132" i="7"/>
  <c r="P132" i="7" s="1"/>
  <c r="F15" i="7"/>
  <c r="H15" i="7" s="1"/>
  <c r="D16" i="7"/>
  <c r="F16" i="7" s="1"/>
  <c r="H16" i="7" s="1"/>
  <c r="K14" i="7"/>
  <c r="M192" i="7"/>
  <c r="F77" i="7"/>
  <c r="H77" i="7" s="1"/>
  <c r="F76" i="7"/>
  <c r="H76" i="7" s="1"/>
  <c r="B149" i="5"/>
  <c r="C149" i="5"/>
  <c r="E149" i="5"/>
  <c r="K149" i="5" s="1" a="1"/>
  <c r="K149" i="5" s="1"/>
  <c r="B103" i="2"/>
  <c r="B53" i="5"/>
  <c r="C53" i="5"/>
  <c r="E53" i="5"/>
  <c r="F53" i="5" s="1"/>
  <c r="H53" i="5" s="1"/>
  <c r="K53" i="5" s="1"/>
  <c r="B92" i="5"/>
  <c r="C92" i="5"/>
  <c r="E92" i="5"/>
  <c r="K92" i="5" s="1" a="1"/>
  <c r="K92" i="5" s="1"/>
  <c r="B52" i="5"/>
  <c r="C52" i="5"/>
  <c r="E52" i="5"/>
  <c r="F52" i="5" s="1"/>
  <c r="H52" i="5" s="1"/>
  <c r="K52" i="5" s="1"/>
  <c r="B91" i="5"/>
  <c r="C91" i="5"/>
  <c r="E91" i="5"/>
  <c r="F91" i="5" s="1"/>
  <c r="H91" i="5" s="1"/>
  <c r="B90" i="5"/>
  <c r="C90" i="5"/>
  <c r="E90" i="5"/>
  <c r="K90" i="5" s="1" a="1"/>
  <c r="K90" i="5" s="1"/>
  <c r="B51" i="5"/>
  <c r="C51" i="5"/>
  <c r="E51" i="5"/>
  <c r="B225" i="5"/>
  <c r="C225" i="5"/>
  <c r="E225" i="5"/>
  <c r="K225" i="5" s="1" a="1"/>
  <c r="K225" i="5" s="1"/>
  <c r="B224" i="5"/>
  <c r="C224" i="5"/>
  <c r="E224" i="5"/>
  <c r="F224" i="5" s="1"/>
  <c r="H224" i="5" s="1"/>
  <c r="B223" i="5"/>
  <c r="C223" i="5"/>
  <c r="D223" i="5"/>
  <c r="E223" i="5"/>
  <c r="B222" i="5"/>
  <c r="C222" i="5"/>
  <c r="D222" i="5"/>
  <c r="E222" i="5"/>
  <c r="K222" i="5" s="1" a="1"/>
  <c r="K222" i="5" s="1"/>
  <c r="E221" i="5"/>
  <c r="K221" i="5" s="1" a="1"/>
  <c r="K221" i="5" s="1"/>
  <c r="D221" i="5"/>
  <c r="C221" i="5"/>
  <c r="B221" i="5"/>
  <c r="B95" i="2"/>
  <c r="B96" i="2"/>
  <c r="B97" i="2"/>
  <c r="B98" i="2"/>
  <c r="B99" i="2"/>
  <c r="B100" i="2"/>
  <c r="B101" i="2"/>
  <c r="B102" i="2"/>
  <c r="B93" i="2"/>
  <c r="B94" i="2"/>
  <c r="B199" i="5"/>
  <c r="C199" i="5"/>
  <c r="E199" i="5"/>
  <c r="B208" i="5"/>
  <c r="C208" i="5"/>
  <c r="E208" i="5"/>
  <c r="K208" i="5" s="1" a="1"/>
  <c r="K208" i="5" s="1"/>
  <c r="E46" i="5"/>
  <c r="F46" i="5" s="1"/>
  <c r="H46" i="5" s="1"/>
  <c r="K46" i="5" s="1"/>
  <c r="E47" i="5"/>
  <c r="E48" i="5"/>
  <c r="F48" i="5" s="1"/>
  <c r="H48" i="5" s="1"/>
  <c r="K48" i="5" s="1"/>
  <c r="B50" i="5"/>
  <c r="C50" i="5"/>
  <c r="E50" i="5"/>
  <c r="M204" i="5"/>
  <c r="D208" i="5" s="1"/>
  <c r="L204" i="5"/>
  <c r="E198" i="5"/>
  <c r="K198" i="5" s="1" a="1"/>
  <c r="K198" i="5" s="1"/>
  <c r="C198" i="5"/>
  <c r="B198" i="5"/>
  <c r="E197" i="5"/>
  <c r="K197" i="5" s="1" a="1"/>
  <c r="K197" i="5" s="1"/>
  <c r="C197" i="5"/>
  <c r="B197" i="5"/>
  <c r="E196" i="5"/>
  <c r="F196" i="5" s="1"/>
  <c r="H196" i="5" s="1"/>
  <c r="C196" i="5"/>
  <c r="B196" i="5"/>
  <c r="E195" i="5"/>
  <c r="K195" i="5" s="1" a="1"/>
  <c r="K195" i="5" s="1"/>
  <c r="C195" i="5"/>
  <c r="B195" i="5"/>
  <c r="E194" i="5"/>
  <c r="K194" i="5" s="1" a="1"/>
  <c r="K194" i="5" s="1"/>
  <c r="C194" i="5"/>
  <c r="B194" i="5"/>
  <c r="E193" i="5"/>
  <c r="D193" i="5"/>
  <c r="C193" i="5"/>
  <c r="B193" i="5"/>
  <c r="E180" i="5"/>
  <c r="C180" i="5"/>
  <c r="B180" i="5"/>
  <c r="E179" i="5"/>
  <c r="F179" i="5" s="1"/>
  <c r="H179" i="5" s="1"/>
  <c r="C179" i="5"/>
  <c r="B179" i="5"/>
  <c r="E178" i="5"/>
  <c r="C178" i="5"/>
  <c r="B178" i="5"/>
  <c r="E177" i="5"/>
  <c r="C177" i="5"/>
  <c r="B177" i="5"/>
  <c r="E176" i="5"/>
  <c r="C176" i="5"/>
  <c r="B176" i="5"/>
  <c r="E175" i="5"/>
  <c r="C175" i="5"/>
  <c r="B175" i="5"/>
  <c r="E174" i="5"/>
  <c r="C174" i="5"/>
  <c r="B174" i="5"/>
  <c r="E173" i="5"/>
  <c r="C173" i="5"/>
  <c r="B173" i="5"/>
  <c r="E172" i="5"/>
  <c r="C172" i="5"/>
  <c r="B172" i="5"/>
  <c r="E171" i="5"/>
  <c r="C171" i="5"/>
  <c r="B171" i="5"/>
  <c r="E170" i="5"/>
  <c r="C170" i="5"/>
  <c r="B170" i="5"/>
  <c r="E169" i="5"/>
  <c r="C169" i="5"/>
  <c r="B169" i="5"/>
  <c r="E168" i="5"/>
  <c r="D168" i="5"/>
  <c r="C168" i="5"/>
  <c r="B168" i="5"/>
  <c r="E167" i="5"/>
  <c r="F167" i="5" s="1"/>
  <c r="H167" i="5" s="1"/>
  <c r="K167" i="5" s="1"/>
  <c r="C167" i="5"/>
  <c r="B167" i="5"/>
  <c r="E166" i="5"/>
  <c r="C166" i="5"/>
  <c r="B166" i="5"/>
  <c r="E165" i="5"/>
  <c r="C165" i="5"/>
  <c r="B165" i="5"/>
  <c r="C160" i="5"/>
  <c r="C188" i="5" s="1"/>
  <c r="C203" i="5" s="1"/>
  <c r="E148" i="5"/>
  <c r="F148" i="5" s="1"/>
  <c r="H148" i="5" s="1"/>
  <c r="C148" i="5"/>
  <c r="B148" i="5"/>
  <c r="E147" i="5"/>
  <c r="F147" i="5" s="1"/>
  <c r="H147" i="5" s="1"/>
  <c r="C147" i="5"/>
  <c r="B147" i="5"/>
  <c r="E146" i="5"/>
  <c r="K146" i="5" s="1" a="1"/>
  <c r="K146" i="5" s="1"/>
  <c r="C146" i="5"/>
  <c r="B146" i="5"/>
  <c r="E145" i="5"/>
  <c r="K145" i="5" s="1" a="1"/>
  <c r="K145" i="5" s="1"/>
  <c r="C145" i="5"/>
  <c r="B145" i="5"/>
  <c r="E144" i="5"/>
  <c r="F144" i="5" s="1"/>
  <c r="H144" i="5" s="1"/>
  <c r="C144" i="5"/>
  <c r="B144" i="5"/>
  <c r="E143" i="5"/>
  <c r="C143" i="5"/>
  <c r="B143" i="5"/>
  <c r="E142" i="5"/>
  <c r="K142" i="5" s="1" a="1"/>
  <c r="K142" i="5" s="1"/>
  <c r="C142" i="5"/>
  <c r="B142" i="5"/>
  <c r="E141" i="5"/>
  <c r="C141" i="5"/>
  <c r="B141" i="5"/>
  <c r="E140" i="5"/>
  <c r="F140" i="5" s="1"/>
  <c r="H140" i="5" s="1"/>
  <c r="C140" i="5"/>
  <c r="B140" i="5"/>
  <c r="E139" i="5"/>
  <c r="K139" i="5" s="1" a="1"/>
  <c r="K139" i="5" s="1"/>
  <c r="C139" i="5"/>
  <c r="B139" i="5"/>
  <c r="E138" i="5"/>
  <c r="F138" i="5" s="1"/>
  <c r="H138" i="5" s="1"/>
  <c r="C138" i="5"/>
  <c r="B138" i="5"/>
  <c r="E137" i="5"/>
  <c r="K137" i="5" s="1" a="1"/>
  <c r="K137" i="5" s="1"/>
  <c r="C137" i="5"/>
  <c r="B137" i="5"/>
  <c r="E136" i="5"/>
  <c r="K136" i="5" s="1" a="1"/>
  <c r="K136" i="5" s="1"/>
  <c r="C136" i="5"/>
  <c r="B136" i="5"/>
  <c r="E135" i="5"/>
  <c r="F135" i="5" s="1"/>
  <c r="H135" i="5" s="1"/>
  <c r="C135" i="5"/>
  <c r="B135" i="5"/>
  <c r="E134" i="5"/>
  <c r="C134" i="5"/>
  <c r="B134" i="5"/>
  <c r="E114" i="5"/>
  <c r="C114" i="5"/>
  <c r="B114" i="5"/>
  <c r="E113" i="5"/>
  <c r="C113" i="5"/>
  <c r="B113" i="5"/>
  <c r="E112" i="5"/>
  <c r="F112" i="5" s="1"/>
  <c r="H112" i="5" s="1"/>
  <c r="C112" i="5"/>
  <c r="B112" i="5"/>
  <c r="E111" i="5"/>
  <c r="C111" i="5"/>
  <c r="B111" i="5"/>
  <c r="E110" i="5"/>
  <c r="F110" i="5" s="1"/>
  <c r="H110" i="5" s="1"/>
  <c r="C110" i="5"/>
  <c r="B110" i="5"/>
  <c r="M106" i="5"/>
  <c r="L106" i="5"/>
  <c r="C105" i="5"/>
  <c r="E89" i="5"/>
  <c r="F89" i="5" s="1"/>
  <c r="H89" i="5" s="1"/>
  <c r="C89" i="5"/>
  <c r="B89" i="5"/>
  <c r="E88" i="5"/>
  <c r="K88" i="5" s="1" a="1"/>
  <c r="K88" i="5" s="1"/>
  <c r="C88" i="5"/>
  <c r="B88" i="5"/>
  <c r="E87" i="5"/>
  <c r="F87" i="5" s="1"/>
  <c r="H87" i="5" s="1"/>
  <c r="C87" i="5"/>
  <c r="B87" i="5"/>
  <c r="E86" i="5"/>
  <c r="K86" i="5" s="1" a="1"/>
  <c r="K86" i="5" s="1"/>
  <c r="C86" i="5"/>
  <c r="B86" i="5"/>
  <c r="E85" i="5"/>
  <c r="K85" i="5" s="1" a="1"/>
  <c r="K85" i="5" s="1"/>
  <c r="C85" i="5"/>
  <c r="B85" i="5"/>
  <c r="E84" i="5"/>
  <c r="C84" i="5"/>
  <c r="B84" i="5"/>
  <c r="E83" i="5"/>
  <c r="C83" i="5"/>
  <c r="B83" i="5"/>
  <c r="E82" i="5"/>
  <c r="C82" i="5"/>
  <c r="B82" i="5"/>
  <c r="E81" i="5"/>
  <c r="F81" i="5" s="1"/>
  <c r="H81" i="5" s="1"/>
  <c r="K81" i="5" s="1"/>
  <c r="C81" i="5"/>
  <c r="B81" i="5"/>
  <c r="E80" i="5"/>
  <c r="C80" i="5"/>
  <c r="B80" i="5"/>
  <c r="E79" i="5"/>
  <c r="C79" i="5"/>
  <c r="B79" i="5"/>
  <c r="E78" i="5"/>
  <c r="C78" i="5"/>
  <c r="B78" i="5"/>
  <c r="E77" i="5"/>
  <c r="C77" i="5"/>
  <c r="B77" i="5"/>
  <c r="E76" i="5"/>
  <c r="C76" i="5"/>
  <c r="B76" i="5"/>
  <c r="M72" i="5"/>
  <c r="L72" i="5"/>
  <c r="C71" i="5"/>
  <c r="E49" i="5"/>
  <c r="C49" i="5"/>
  <c r="B49" i="5"/>
  <c r="C48" i="5"/>
  <c r="B48" i="5"/>
  <c r="C47" i="5"/>
  <c r="B47" i="5"/>
  <c r="C46" i="5"/>
  <c r="B46" i="5"/>
  <c r="E45" i="5"/>
  <c r="C45" i="5"/>
  <c r="B45" i="5"/>
  <c r="E44" i="5"/>
  <c r="C44" i="5"/>
  <c r="B44" i="5"/>
  <c r="E43" i="5"/>
  <c r="C43" i="5"/>
  <c r="B43" i="5"/>
  <c r="E42" i="5"/>
  <c r="C42" i="5"/>
  <c r="B42" i="5"/>
  <c r="E41" i="5"/>
  <c r="C41" i="5"/>
  <c r="B41" i="5"/>
  <c r="E40" i="5"/>
  <c r="C40" i="5"/>
  <c r="B40" i="5"/>
  <c r="E39" i="5"/>
  <c r="C39" i="5"/>
  <c r="B39" i="5"/>
  <c r="E38" i="5"/>
  <c r="C38" i="5"/>
  <c r="B38" i="5"/>
  <c r="E37" i="5"/>
  <c r="C37" i="5"/>
  <c r="B37" i="5"/>
  <c r="E36" i="5"/>
  <c r="C36" i="5"/>
  <c r="B36" i="5"/>
  <c r="E35" i="5"/>
  <c r="C35" i="5"/>
  <c r="B35" i="5"/>
  <c r="E34" i="5"/>
  <c r="C34" i="5"/>
  <c r="B34" i="5"/>
  <c r="E33" i="5"/>
  <c r="C33" i="5"/>
  <c r="B33" i="5"/>
  <c r="E32" i="5"/>
  <c r="D32" i="5"/>
  <c r="C32" i="5"/>
  <c r="B32" i="5"/>
  <c r="E31" i="5"/>
  <c r="D31" i="5"/>
  <c r="D33" i="5" s="1"/>
  <c r="C31" i="5"/>
  <c r="B31" i="5"/>
  <c r="E30" i="5"/>
  <c r="C30" i="5"/>
  <c r="B30" i="5"/>
  <c r="E29" i="5"/>
  <c r="F29" i="5" s="1"/>
  <c r="H29" i="5" s="1"/>
  <c r="K29" i="5" s="1"/>
  <c r="C29" i="5"/>
  <c r="B29" i="5"/>
  <c r="M26" i="5"/>
  <c r="L26" i="5"/>
  <c r="C25" i="5"/>
  <c r="E16" i="5"/>
  <c r="C16" i="5"/>
  <c r="B16" i="5"/>
  <c r="E15" i="5"/>
  <c r="C15" i="5"/>
  <c r="B15" i="5"/>
  <c r="E14" i="5"/>
  <c r="C14" i="5"/>
  <c r="B14" i="5"/>
  <c r="I13" i="5"/>
  <c r="E13" i="5"/>
  <c r="C13" i="5"/>
  <c r="B13" i="5"/>
  <c r="I12" i="5"/>
  <c r="E12" i="5"/>
  <c r="C12" i="5"/>
  <c r="B12" i="5"/>
  <c r="E11" i="5"/>
  <c r="D11" i="5"/>
  <c r="D12" i="5" s="1"/>
  <c r="D13" i="5" s="1"/>
  <c r="C11" i="5"/>
  <c r="B11" i="5"/>
  <c r="M5" i="5"/>
  <c r="M70" i="5" s="1"/>
  <c r="M104" i="5" s="1"/>
  <c r="M129" i="5" s="1"/>
  <c r="M159" i="5" s="1"/>
  <c r="M187" i="5" s="1"/>
  <c r="M202" i="5" s="1"/>
  <c r="K5" i="5"/>
  <c r="K70" i="5" s="1"/>
  <c r="K104" i="5" s="1"/>
  <c r="K129" i="5" s="1"/>
  <c r="K159" i="5" s="1"/>
  <c r="K187" i="5" s="1"/>
  <c r="K202" i="5" s="1"/>
  <c r="B53" i="2"/>
  <c r="K5" i="1"/>
  <c r="M5" i="1"/>
  <c r="M71" i="1" s="1"/>
  <c r="M102" i="1" s="1"/>
  <c r="M127" i="1" s="1"/>
  <c r="M158" i="1" s="1"/>
  <c r="M181" i="1" s="1"/>
  <c r="M196" i="1" s="1"/>
  <c r="B11" i="1"/>
  <c r="C11" i="1"/>
  <c r="D11" i="1"/>
  <c r="D12" i="1" s="1"/>
  <c r="D13" i="1" s="1"/>
  <c r="D14" i="1" s="1"/>
  <c r="D15" i="1" s="1"/>
  <c r="E11" i="1"/>
  <c r="C159" i="1"/>
  <c r="C182" i="1" s="1"/>
  <c r="C197" i="1" s="1"/>
  <c r="B116" i="1"/>
  <c r="C116" i="1"/>
  <c r="E116" i="1"/>
  <c r="F116" i="1" s="1"/>
  <c r="H116" i="1" s="1"/>
  <c r="B115" i="1"/>
  <c r="C115" i="1"/>
  <c r="E115" i="1"/>
  <c r="F115" i="1" s="1"/>
  <c r="H115" i="1" s="1"/>
  <c r="B192" i="1"/>
  <c r="C192" i="1"/>
  <c r="E192" i="1"/>
  <c r="K192" i="1" s="1" a="1"/>
  <c r="K192" i="1" s="1"/>
  <c r="B191" i="1"/>
  <c r="C191" i="1"/>
  <c r="E191" i="1"/>
  <c r="K191" i="1" s="1" a="1"/>
  <c r="K191" i="1" s="1"/>
  <c r="B190" i="1"/>
  <c r="C190" i="1"/>
  <c r="E190" i="1"/>
  <c r="F190" i="1" s="1"/>
  <c r="H190" i="1" s="1"/>
  <c r="L190" i="1" s="1"/>
  <c r="M190" i="1" s="1"/>
  <c r="B189" i="1"/>
  <c r="C189" i="1"/>
  <c r="E189" i="1"/>
  <c r="F189" i="1" s="1"/>
  <c r="H189" i="1" s="1"/>
  <c r="L189" i="1" s="1"/>
  <c r="M189" i="1" s="1"/>
  <c r="B188" i="1"/>
  <c r="C188" i="1"/>
  <c r="E188" i="1"/>
  <c r="F188" i="1" s="1"/>
  <c r="H188" i="1" s="1"/>
  <c r="L188" i="1" s="1"/>
  <c r="M188" i="1" s="1"/>
  <c r="E187" i="1"/>
  <c r="K187" i="1" s="1" a="1"/>
  <c r="K187" i="1" s="1"/>
  <c r="D187" i="1"/>
  <c r="C187" i="1"/>
  <c r="B187" i="1"/>
  <c r="B176" i="1"/>
  <c r="L198" i="1"/>
  <c r="M198" i="1"/>
  <c r="D202" i="1" s="1"/>
  <c r="B202" i="1"/>
  <c r="C202" i="1"/>
  <c r="E202" i="1"/>
  <c r="K202" i="1" s="1" a="1"/>
  <c r="K202" i="1" s="1"/>
  <c r="B179" i="1"/>
  <c r="C179" i="1"/>
  <c r="E179" i="1"/>
  <c r="F179" i="1" s="1"/>
  <c r="H179" i="1" s="1"/>
  <c r="B43" i="1"/>
  <c r="C43" i="1"/>
  <c r="E43" i="1"/>
  <c r="K43" i="1" s="1" a="1"/>
  <c r="K43" i="1" s="1"/>
  <c r="B150" i="1"/>
  <c r="C150" i="1"/>
  <c r="E150" i="1"/>
  <c r="F150" i="1" s="1"/>
  <c r="H150" i="1" s="1"/>
  <c r="J150" i="1"/>
  <c r="B149" i="1"/>
  <c r="C149" i="1"/>
  <c r="E149" i="1"/>
  <c r="F149" i="1" s="1"/>
  <c r="H149" i="1" s="1"/>
  <c r="B148" i="1"/>
  <c r="C148" i="1"/>
  <c r="E148" i="1"/>
  <c r="F148" i="1" s="1"/>
  <c r="H148" i="1" s="1"/>
  <c r="J148" i="1"/>
  <c r="B91" i="2"/>
  <c r="B92" i="2"/>
  <c r="B64" i="1"/>
  <c r="C64" i="1"/>
  <c r="E64" i="1"/>
  <c r="K64" i="1" s="1" a="1"/>
  <c r="K64" i="1" s="1"/>
  <c r="B178" i="1"/>
  <c r="C178" i="1"/>
  <c r="E178" i="1"/>
  <c r="F178" i="1" s="1"/>
  <c r="H178" i="1" s="1"/>
  <c r="B25" i="1"/>
  <c r="C25" i="1"/>
  <c r="E25" i="1"/>
  <c r="K25" i="1" s="1" a="1"/>
  <c r="K25" i="1" s="1"/>
  <c r="B114" i="1"/>
  <c r="C114" i="1"/>
  <c r="E114" i="1"/>
  <c r="F114" i="1" s="1"/>
  <c r="H114" i="1" s="1"/>
  <c r="B89" i="1"/>
  <c r="C89" i="1"/>
  <c r="E89" i="1"/>
  <c r="F89" i="1" s="1"/>
  <c r="H89" i="1" s="1"/>
  <c r="B26" i="1"/>
  <c r="C26" i="1"/>
  <c r="E26" i="1"/>
  <c r="K26" i="1" s="1" a="1"/>
  <c r="K26" i="1" s="1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E177" i="1"/>
  <c r="K177" i="1" s="1" a="1"/>
  <c r="K177" i="1" s="1"/>
  <c r="C177" i="1"/>
  <c r="B177" i="1"/>
  <c r="E176" i="1"/>
  <c r="K176" i="1" s="1" a="1"/>
  <c r="K176" i="1" s="1"/>
  <c r="C176" i="1"/>
  <c r="E175" i="1"/>
  <c r="K175" i="1" s="1" a="1"/>
  <c r="K175" i="1" s="1"/>
  <c r="C175" i="1"/>
  <c r="B175" i="1"/>
  <c r="E174" i="1"/>
  <c r="K174" i="1" s="1" a="1"/>
  <c r="K174" i="1" s="1"/>
  <c r="C174" i="1"/>
  <c r="B174" i="1"/>
  <c r="E173" i="1"/>
  <c r="K173" i="1" s="1" a="1"/>
  <c r="K173" i="1" s="1"/>
  <c r="C173" i="1"/>
  <c r="B173" i="1"/>
  <c r="E172" i="1"/>
  <c r="K172" i="1" s="1" a="1"/>
  <c r="K172" i="1" s="1"/>
  <c r="C172" i="1"/>
  <c r="B172" i="1"/>
  <c r="E171" i="1"/>
  <c r="K171" i="1" s="1" a="1"/>
  <c r="K171" i="1" s="1"/>
  <c r="C171" i="1"/>
  <c r="B171" i="1"/>
  <c r="E170" i="1"/>
  <c r="K170" i="1" s="1" a="1"/>
  <c r="K170" i="1" s="1"/>
  <c r="C170" i="1"/>
  <c r="B170" i="1"/>
  <c r="E169" i="1"/>
  <c r="K169" i="1" s="1" a="1"/>
  <c r="K169" i="1" s="1"/>
  <c r="C169" i="1"/>
  <c r="B169" i="1"/>
  <c r="E168" i="1"/>
  <c r="K168" i="1" s="1" a="1"/>
  <c r="K168" i="1" s="1"/>
  <c r="C168" i="1"/>
  <c r="B168" i="1"/>
  <c r="E167" i="1"/>
  <c r="K167" i="1" s="1" a="1"/>
  <c r="K167" i="1" s="1"/>
  <c r="D167" i="1"/>
  <c r="D168" i="1" s="1"/>
  <c r="D169" i="1" s="1"/>
  <c r="C167" i="1"/>
  <c r="B167" i="1"/>
  <c r="E166" i="1"/>
  <c r="F166" i="1" s="1"/>
  <c r="H166" i="1" s="1"/>
  <c r="C166" i="1"/>
  <c r="B166" i="1"/>
  <c r="E165" i="1"/>
  <c r="F165" i="1" s="1"/>
  <c r="H165" i="1" s="1"/>
  <c r="C165" i="1"/>
  <c r="B165" i="1"/>
  <c r="E164" i="1"/>
  <c r="F164" i="1" s="1"/>
  <c r="H164" i="1" s="1"/>
  <c r="C164" i="1"/>
  <c r="B164" i="1"/>
  <c r="E147" i="1"/>
  <c r="K147" i="1" s="1" a="1"/>
  <c r="K147" i="1" s="1"/>
  <c r="C147" i="1"/>
  <c r="B147" i="1"/>
  <c r="E146" i="1"/>
  <c r="K146" i="1" s="1" a="1"/>
  <c r="K146" i="1" s="1"/>
  <c r="C146" i="1"/>
  <c r="B146" i="1"/>
  <c r="E145" i="1"/>
  <c r="K145" i="1" s="1" a="1"/>
  <c r="K145" i="1" s="1"/>
  <c r="C145" i="1"/>
  <c r="B145" i="1"/>
  <c r="E144" i="1"/>
  <c r="K144" i="1" s="1" a="1"/>
  <c r="K144" i="1" s="1"/>
  <c r="C144" i="1"/>
  <c r="B144" i="1"/>
  <c r="E143" i="1"/>
  <c r="K143" i="1" s="1" a="1"/>
  <c r="K143" i="1" s="1"/>
  <c r="C143" i="1"/>
  <c r="B143" i="1"/>
  <c r="E142" i="1"/>
  <c r="K142" i="1" s="1" a="1"/>
  <c r="K142" i="1" s="1"/>
  <c r="C142" i="1"/>
  <c r="B142" i="1"/>
  <c r="E141" i="1"/>
  <c r="K141" i="1" s="1" a="1"/>
  <c r="K141" i="1" s="1"/>
  <c r="C141" i="1"/>
  <c r="B141" i="1"/>
  <c r="E140" i="1"/>
  <c r="K140" i="1" s="1" a="1"/>
  <c r="K140" i="1" s="1"/>
  <c r="C140" i="1"/>
  <c r="B140" i="1"/>
  <c r="E139" i="1"/>
  <c r="K139" i="1" s="1" a="1"/>
  <c r="K139" i="1" s="1"/>
  <c r="C139" i="1"/>
  <c r="B139" i="1"/>
  <c r="E138" i="1"/>
  <c r="K138" i="1" s="1" a="1"/>
  <c r="K138" i="1" s="1"/>
  <c r="C138" i="1"/>
  <c r="B138" i="1"/>
  <c r="E137" i="1"/>
  <c r="K137" i="1" s="1" a="1"/>
  <c r="K137" i="1" s="1"/>
  <c r="C137" i="1"/>
  <c r="B137" i="1"/>
  <c r="E136" i="1"/>
  <c r="K136" i="1" s="1" a="1"/>
  <c r="K136" i="1" s="1"/>
  <c r="C136" i="1"/>
  <c r="B136" i="1"/>
  <c r="E135" i="1"/>
  <c r="K135" i="1" s="1" a="1"/>
  <c r="K135" i="1" s="1"/>
  <c r="C135" i="1"/>
  <c r="B135" i="1"/>
  <c r="E134" i="1"/>
  <c r="K134" i="1" s="1" a="1"/>
  <c r="K134" i="1" s="1"/>
  <c r="C134" i="1"/>
  <c r="B134" i="1"/>
  <c r="E133" i="1"/>
  <c r="K133" i="1" s="1" a="1"/>
  <c r="K133" i="1" s="1"/>
  <c r="C133" i="1"/>
  <c r="B133" i="1"/>
  <c r="E132" i="1"/>
  <c r="K132" i="1" s="1" a="1"/>
  <c r="K132" i="1" s="1"/>
  <c r="C132" i="1"/>
  <c r="B132" i="1"/>
  <c r="E113" i="1"/>
  <c r="F113" i="1" s="1"/>
  <c r="H113" i="1" s="1"/>
  <c r="C113" i="1"/>
  <c r="B113" i="1"/>
  <c r="E112" i="1"/>
  <c r="F112" i="1" s="1"/>
  <c r="H112" i="1" s="1"/>
  <c r="C112" i="1"/>
  <c r="B112" i="1"/>
  <c r="E111" i="1"/>
  <c r="F111" i="1" s="1"/>
  <c r="H111" i="1" s="1"/>
  <c r="C111" i="1"/>
  <c r="B111" i="1"/>
  <c r="E110" i="1"/>
  <c r="F110" i="1" s="1"/>
  <c r="H110" i="1" s="1"/>
  <c r="C110" i="1"/>
  <c r="B110" i="1"/>
  <c r="E109" i="1"/>
  <c r="F109" i="1" s="1"/>
  <c r="H109" i="1" s="1"/>
  <c r="C109" i="1"/>
  <c r="B109" i="1"/>
  <c r="E108" i="1"/>
  <c r="F108" i="1" s="1"/>
  <c r="H108" i="1" s="1"/>
  <c r="C108" i="1"/>
  <c r="B108" i="1"/>
  <c r="M104" i="1"/>
  <c r="L104" i="1"/>
  <c r="C103" i="1"/>
  <c r="E93" i="1"/>
  <c r="F93" i="1" s="1"/>
  <c r="H93" i="1" s="1"/>
  <c r="C93" i="1"/>
  <c r="B93" i="1"/>
  <c r="E92" i="1"/>
  <c r="F92" i="1" s="1"/>
  <c r="H92" i="1" s="1"/>
  <c r="C92" i="1"/>
  <c r="B92" i="1"/>
  <c r="E91" i="1"/>
  <c r="F91" i="1" s="1"/>
  <c r="H91" i="1" s="1"/>
  <c r="C91" i="1"/>
  <c r="B91" i="1"/>
  <c r="E90" i="1"/>
  <c r="K90" i="1" s="1" a="1"/>
  <c r="K90" i="1" s="1"/>
  <c r="C90" i="1"/>
  <c r="B90" i="1"/>
  <c r="E88" i="1"/>
  <c r="K88" i="1" s="1" a="1"/>
  <c r="K88" i="1" s="1"/>
  <c r="C88" i="1"/>
  <c r="B88" i="1"/>
  <c r="E87" i="1"/>
  <c r="K87" i="1" s="1" a="1"/>
  <c r="K87" i="1" s="1"/>
  <c r="C87" i="1"/>
  <c r="B87" i="1"/>
  <c r="E86" i="1"/>
  <c r="K86" i="1" s="1" a="1"/>
  <c r="K86" i="1" s="1"/>
  <c r="C86" i="1"/>
  <c r="B86" i="1"/>
  <c r="E85" i="1"/>
  <c r="K85" i="1" s="1" a="1"/>
  <c r="K85" i="1" s="1"/>
  <c r="C85" i="1"/>
  <c r="B85" i="1"/>
  <c r="E84" i="1"/>
  <c r="K84" i="1" s="1" a="1"/>
  <c r="K84" i="1" s="1"/>
  <c r="C84" i="1"/>
  <c r="B84" i="1"/>
  <c r="E83" i="1"/>
  <c r="K83" i="1" s="1" a="1"/>
  <c r="K83" i="1" s="1"/>
  <c r="C83" i="1"/>
  <c r="B83" i="1"/>
  <c r="E82" i="1"/>
  <c r="K82" i="1" s="1" a="1"/>
  <c r="K82" i="1" s="1"/>
  <c r="C82" i="1"/>
  <c r="B82" i="1"/>
  <c r="E81" i="1"/>
  <c r="K81" i="1" s="1" a="1"/>
  <c r="K81" i="1" s="1"/>
  <c r="C81" i="1"/>
  <c r="B81" i="1"/>
  <c r="E80" i="1"/>
  <c r="K80" i="1" s="1" a="1"/>
  <c r="K80" i="1" s="1"/>
  <c r="C80" i="1"/>
  <c r="B80" i="1"/>
  <c r="E79" i="1"/>
  <c r="K79" i="1" s="1" a="1"/>
  <c r="K79" i="1" s="1"/>
  <c r="C79" i="1"/>
  <c r="B79" i="1"/>
  <c r="E78" i="1"/>
  <c r="K78" i="1" s="1" a="1"/>
  <c r="K78" i="1" s="1"/>
  <c r="C78" i="1"/>
  <c r="B78" i="1"/>
  <c r="E77" i="1"/>
  <c r="K77" i="1" s="1" a="1"/>
  <c r="K77" i="1" s="1"/>
  <c r="C77" i="1"/>
  <c r="B77" i="1"/>
  <c r="M73" i="1"/>
  <c r="D77" i="1" s="1"/>
  <c r="L73" i="1"/>
  <c r="C72" i="1"/>
  <c r="E63" i="1"/>
  <c r="F63" i="1" s="1"/>
  <c r="H63" i="1" s="1"/>
  <c r="C63" i="1"/>
  <c r="B63" i="1"/>
  <c r="E62" i="1"/>
  <c r="F62" i="1" s="1"/>
  <c r="H62" i="1" s="1"/>
  <c r="C62" i="1"/>
  <c r="B62" i="1"/>
  <c r="E61" i="1"/>
  <c r="F61" i="1" s="1"/>
  <c r="H61" i="1" s="1"/>
  <c r="C61" i="1"/>
  <c r="B61" i="1"/>
  <c r="E60" i="1"/>
  <c r="K60" i="1" s="1" a="1"/>
  <c r="K60" i="1" s="1"/>
  <c r="C60" i="1"/>
  <c r="B60" i="1"/>
  <c r="E59" i="1"/>
  <c r="K59" i="1" s="1" a="1"/>
  <c r="K59" i="1" s="1"/>
  <c r="C59" i="1"/>
  <c r="B59" i="1"/>
  <c r="E58" i="1"/>
  <c r="K58" i="1" s="1" a="1"/>
  <c r="K58" i="1" s="1"/>
  <c r="C58" i="1"/>
  <c r="B58" i="1"/>
  <c r="E57" i="1"/>
  <c r="K57" i="1" s="1" a="1"/>
  <c r="K57" i="1" s="1"/>
  <c r="C57" i="1"/>
  <c r="B57" i="1"/>
  <c r="E56" i="1"/>
  <c r="K56" i="1" s="1" a="1"/>
  <c r="K56" i="1" s="1"/>
  <c r="C56" i="1"/>
  <c r="B56" i="1"/>
  <c r="E55" i="1"/>
  <c r="K55" i="1" s="1" a="1"/>
  <c r="K55" i="1" s="1"/>
  <c r="C55" i="1"/>
  <c r="B55" i="1"/>
  <c r="E54" i="1"/>
  <c r="K54" i="1" s="1" a="1"/>
  <c r="K54" i="1" s="1"/>
  <c r="C54" i="1"/>
  <c r="B54" i="1"/>
  <c r="E53" i="1"/>
  <c r="K53" i="1" s="1" a="1"/>
  <c r="K53" i="1" s="1"/>
  <c r="C53" i="1"/>
  <c r="B53" i="1"/>
  <c r="E52" i="1"/>
  <c r="K52" i="1" s="1" a="1"/>
  <c r="K52" i="1" s="1"/>
  <c r="C52" i="1"/>
  <c r="B52" i="1"/>
  <c r="E51" i="1"/>
  <c r="K51" i="1" s="1" a="1"/>
  <c r="K51" i="1" s="1"/>
  <c r="C51" i="1"/>
  <c r="B51" i="1"/>
  <c r="E50" i="1"/>
  <c r="K50" i="1" s="1" a="1"/>
  <c r="K50" i="1" s="1"/>
  <c r="C50" i="1"/>
  <c r="B50" i="1"/>
  <c r="E49" i="1"/>
  <c r="K49" i="1" s="1" a="1"/>
  <c r="K49" i="1" s="1"/>
  <c r="C49" i="1"/>
  <c r="B49" i="1"/>
  <c r="E48" i="1"/>
  <c r="K48" i="1" s="1" a="1"/>
  <c r="K48" i="1" s="1"/>
  <c r="C48" i="1"/>
  <c r="B48" i="1"/>
  <c r="E47" i="1"/>
  <c r="K47" i="1" s="1" a="1"/>
  <c r="K47" i="1" s="1"/>
  <c r="C47" i="1"/>
  <c r="B47" i="1"/>
  <c r="E46" i="1"/>
  <c r="K46" i="1" s="1" a="1"/>
  <c r="K46" i="1" s="1"/>
  <c r="D46" i="1"/>
  <c r="D48" i="1" s="1"/>
  <c r="C46" i="1"/>
  <c r="B46" i="1"/>
  <c r="E45" i="1"/>
  <c r="K45" i="1" s="1" a="1"/>
  <c r="K45" i="1" s="1"/>
  <c r="D45" i="1"/>
  <c r="D47" i="1" s="1"/>
  <c r="D49" i="1" s="1"/>
  <c r="D51" i="1" s="1"/>
  <c r="D53" i="1" s="1"/>
  <c r="D55" i="1" s="1"/>
  <c r="C45" i="1"/>
  <c r="B45" i="1"/>
  <c r="E44" i="1"/>
  <c r="F44" i="1" s="1"/>
  <c r="H44" i="1" s="1"/>
  <c r="C44" i="1"/>
  <c r="B44" i="1"/>
  <c r="M40" i="1"/>
  <c r="L40" i="1"/>
  <c r="C39" i="1"/>
  <c r="E24" i="1"/>
  <c r="K24" i="1" s="1" a="1"/>
  <c r="K24" i="1" s="1"/>
  <c r="C24" i="1"/>
  <c r="B24" i="1"/>
  <c r="E23" i="1"/>
  <c r="K23" i="1" s="1" a="1"/>
  <c r="K23" i="1" s="1"/>
  <c r="C23" i="1"/>
  <c r="B23" i="1"/>
  <c r="E22" i="1"/>
  <c r="K22" i="1" s="1" a="1"/>
  <c r="K22" i="1" s="1"/>
  <c r="C22" i="1"/>
  <c r="B22" i="1"/>
  <c r="E21" i="1"/>
  <c r="K21" i="1" s="1" a="1"/>
  <c r="K21" i="1" s="1"/>
  <c r="C21" i="1"/>
  <c r="B21" i="1"/>
  <c r="E20" i="1"/>
  <c r="K20" i="1" s="1" a="1"/>
  <c r="K20" i="1" s="1"/>
  <c r="C20" i="1"/>
  <c r="B20" i="1"/>
  <c r="E19" i="1"/>
  <c r="K19" i="1" s="1" a="1"/>
  <c r="K19" i="1" s="1"/>
  <c r="C19" i="1"/>
  <c r="B19" i="1"/>
  <c r="E18" i="1"/>
  <c r="K18" i="1" s="1" a="1"/>
  <c r="K18" i="1" s="1"/>
  <c r="C18" i="1"/>
  <c r="B18" i="1"/>
  <c r="E17" i="1"/>
  <c r="K17" i="1" s="1" a="1"/>
  <c r="K17" i="1" s="1"/>
  <c r="C17" i="1"/>
  <c r="B17" i="1"/>
  <c r="E16" i="1"/>
  <c r="K16" i="1" s="1" a="1"/>
  <c r="K16" i="1" s="1"/>
  <c r="C16" i="1"/>
  <c r="B16" i="1"/>
  <c r="E15" i="1"/>
  <c r="K15" i="1" s="1" a="1"/>
  <c r="K15" i="1" s="1"/>
  <c r="C15" i="1"/>
  <c r="B15" i="1"/>
  <c r="E14" i="1"/>
  <c r="K14" i="1" s="1" a="1"/>
  <c r="K14" i="1" s="1"/>
  <c r="C14" i="1"/>
  <c r="B14" i="1"/>
  <c r="I13" i="1"/>
  <c r="E13" i="1"/>
  <c r="K13" i="1" s="1" a="1"/>
  <c r="K13" i="1" s="1"/>
  <c r="C13" i="1"/>
  <c r="B13" i="1"/>
  <c r="I12" i="1"/>
  <c r="E12" i="1"/>
  <c r="K12" i="1" s="1" a="1"/>
  <c r="K12" i="1" s="1"/>
  <c r="C12" i="1"/>
  <c r="B12" i="1"/>
  <c r="P201" i="7" l="1"/>
  <c r="P80" i="8"/>
  <c r="K34" i="7"/>
  <c r="L34" i="7" s="1"/>
  <c r="M33" i="7"/>
  <c r="O33" i="7"/>
  <c r="L36" i="8"/>
  <c r="M36" i="8" s="1"/>
  <c r="P36" i="8" s="1"/>
  <c r="L35" i="8"/>
  <c r="M35" i="8" s="1"/>
  <c r="P35" i="8" s="1"/>
  <c r="D41" i="8"/>
  <c r="F41" i="8" s="1"/>
  <c r="H41" i="8" s="1"/>
  <c r="F39" i="8"/>
  <c r="H39" i="8" s="1"/>
  <c r="L79" i="8"/>
  <c r="M79" i="8" s="1"/>
  <c r="P79" i="8" s="1"/>
  <c r="K38" i="8"/>
  <c r="F40" i="8"/>
  <c r="H40" i="8" s="1"/>
  <c r="D42" i="8"/>
  <c r="K37" i="8"/>
  <c r="L37" i="8" s="1"/>
  <c r="M37" i="8" s="1"/>
  <c r="P13" i="7"/>
  <c r="P74" i="7"/>
  <c r="F41" i="7"/>
  <c r="H41" i="7" s="1"/>
  <c r="D42" i="7"/>
  <c r="F167" i="7"/>
  <c r="H167" i="7" s="1"/>
  <c r="P192" i="7"/>
  <c r="L14" i="7"/>
  <c r="M14" i="7" s="1"/>
  <c r="P14" i="7" s="1"/>
  <c r="L37" i="7"/>
  <c r="L166" i="7"/>
  <c r="M166" i="7" s="1"/>
  <c r="P166" i="7" s="1"/>
  <c r="K16" i="7"/>
  <c r="L16" i="7" s="1"/>
  <c r="K15" i="7"/>
  <c r="K76" i="7"/>
  <c r="K77" i="7"/>
  <c r="D38" i="7"/>
  <c r="F36" i="7"/>
  <c r="H36" i="7" s="1"/>
  <c r="K39" i="7"/>
  <c r="L39" i="7" s="1"/>
  <c r="M39" i="7" s="1"/>
  <c r="P39" i="7" s="1"/>
  <c r="K199" i="5" a="1"/>
  <c r="K199" i="5" s="1"/>
  <c r="F199" i="5"/>
  <c r="H199" i="5" s="1"/>
  <c r="F149" i="5"/>
  <c r="H149" i="5" s="1"/>
  <c r="L149" i="5" s="1"/>
  <c r="M149" i="5" s="1"/>
  <c r="P149" i="5" s="1"/>
  <c r="K91" i="5" a="1"/>
  <c r="K91" i="5" s="1"/>
  <c r="L91" i="5" s="1"/>
  <c r="M91" i="5" s="1"/>
  <c r="P91" i="5" s="1"/>
  <c r="F92" i="5"/>
  <c r="H92" i="5" s="1"/>
  <c r="L92" i="5" s="1"/>
  <c r="M92" i="5" s="1"/>
  <c r="P92" i="5" s="1"/>
  <c r="K179" i="5"/>
  <c r="L179" i="5" s="1"/>
  <c r="M179" i="5" s="1"/>
  <c r="P179" i="5" s="1"/>
  <c r="L167" i="5"/>
  <c r="M167" i="5" s="1"/>
  <c r="P167" i="5" s="1"/>
  <c r="F90" i="5"/>
  <c r="H90" i="5" s="1"/>
  <c r="L53" i="5"/>
  <c r="L52" i="5"/>
  <c r="F51" i="5"/>
  <c r="H51" i="5" s="1"/>
  <c r="F223" i="5"/>
  <c r="H223" i="5" s="1"/>
  <c r="L223" i="5" s="1"/>
  <c r="M223" i="5" s="1"/>
  <c r="K223" i="5" a="1"/>
  <c r="K223" i="5" s="1"/>
  <c r="L224" i="5"/>
  <c r="M224" i="5" s="1"/>
  <c r="K224" i="5" a="1"/>
  <c r="K224" i="5" s="1"/>
  <c r="F222" i="5"/>
  <c r="H222" i="5" s="1"/>
  <c r="L222" i="5" s="1"/>
  <c r="M222" i="5" s="1"/>
  <c r="P222" i="5" s="1"/>
  <c r="K148" i="5" a="1"/>
  <c r="K148" i="5" s="1"/>
  <c r="L148" i="5" s="1"/>
  <c r="M148" i="5" s="1"/>
  <c r="P148" i="5" s="1"/>
  <c r="K89" i="5" a="1"/>
  <c r="K89" i="5" s="1"/>
  <c r="L89" i="5" s="1"/>
  <c r="M89" i="5" s="1"/>
  <c r="K147" i="5" a="1"/>
  <c r="K147" i="5" s="1"/>
  <c r="L147" i="5" s="1"/>
  <c r="M147" i="5" s="1"/>
  <c r="F221" i="5"/>
  <c r="H221" i="5" s="1"/>
  <c r="L221" i="5" s="1"/>
  <c r="M221" i="5" s="1"/>
  <c r="F208" i="5"/>
  <c r="H208" i="5" s="1"/>
  <c r="L208" i="5" s="1"/>
  <c r="M208" i="5" s="1"/>
  <c r="F50" i="5"/>
  <c r="H50" i="5" s="1"/>
  <c r="K50" i="5" s="1"/>
  <c r="F33" i="5"/>
  <c r="H33" i="5" s="1"/>
  <c r="F168" i="5"/>
  <c r="H168" i="5" s="1"/>
  <c r="F31" i="5"/>
  <c r="H31" i="5" s="1"/>
  <c r="L29" i="5"/>
  <c r="K112" i="5" a="1"/>
  <c r="K112" i="5" s="1"/>
  <c r="L112" i="5" s="1"/>
  <c r="M112" i="5" s="1"/>
  <c r="P112" i="5" s="1"/>
  <c r="F114" i="5"/>
  <c r="H114" i="5" s="1"/>
  <c r="K140" i="5" a="1"/>
  <c r="K140" i="5" s="1"/>
  <c r="L140" i="5" s="1"/>
  <c r="M140" i="5" s="1"/>
  <c r="P140" i="5" s="1"/>
  <c r="F47" i="5"/>
  <c r="H47" i="5" s="1"/>
  <c r="K144" i="5" a="1"/>
  <c r="K144" i="5" s="1"/>
  <c r="L144" i="5" s="1"/>
  <c r="M144" i="5" s="1"/>
  <c r="F193" i="5"/>
  <c r="H193" i="5" s="1"/>
  <c r="K138" i="5" a="1"/>
  <c r="K138" i="5" s="1"/>
  <c r="L138" i="5" s="1"/>
  <c r="M138" i="5" s="1"/>
  <c r="F30" i="5"/>
  <c r="H30" i="5" s="1"/>
  <c r="F197" i="5"/>
  <c r="H197" i="5" s="1"/>
  <c r="F139" i="5"/>
  <c r="H139" i="5" s="1"/>
  <c r="L139" i="5" s="1"/>
  <c r="M139" i="5" s="1"/>
  <c r="P139" i="5" s="1"/>
  <c r="L48" i="5"/>
  <c r="F86" i="5"/>
  <c r="H86" i="5" s="1"/>
  <c r="L86" i="5" s="1"/>
  <c r="M86" i="5" s="1"/>
  <c r="K135" i="5" a="1"/>
  <c r="K135" i="5" s="1"/>
  <c r="L135" i="5" s="1"/>
  <c r="M135" i="5" s="1"/>
  <c r="P135" i="5" s="1"/>
  <c r="F198" i="5"/>
  <c r="H198" i="5" s="1"/>
  <c r="K110" i="5" a="1"/>
  <c r="K110" i="5" s="1"/>
  <c r="L110" i="5" s="1"/>
  <c r="M110" i="5" s="1"/>
  <c r="P110" i="5" s="1"/>
  <c r="F88" i="5"/>
  <c r="H88" i="5" s="1"/>
  <c r="L88" i="5" s="1"/>
  <c r="M88" i="5" s="1"/>
  <c r="P88" i="5" s="1"/>
  <c r="F195" i="5"/>
  <c r="H195" i="5" s="1"/>
  <c r="L46" i="5"/>
  <c r="K193" i="5" a="1"/>
  <c r="K193" i="5" s="1"/>
  <c r="K196" i="5" a="1"/>
  <c r="K196" i="5" s="1"/>
  <c r="L196" i="5" s="1"/>
  <c r="M196" i="5" s="1"/>
  <c r="L81" i="5"/>
  <c r="M81" i="5" s="1"/>
  <c r="K87" i="5" a="1"/>
  <c r="K87" i="5" s="1"/>
  <c r="L87" i="5" s="1"/>
  <c r="M87" i="5" s="1"/>
  <c r="P87" i="5" s="1"/>
  <c r="D169" i="5"/>
  <c r="D14" i="5"/>
  <c r="F13" i="5"/>
  <c r="H13" i="5" s="1"/>
  <c r="F143" i="5"/>
  <c r="H143" i="5" s="1"/>
  <c r="K143" i="5" a="1"/>
  <c r="K143" i="5" s="1"/>
  <c r="F12" i="5"/>
  <c r="H12" i="5" s="1"/>
  <c r="F49" i="5"/>
  <c r="H49" i="5" s="1"/>
  <c r="K49" i="5" s="1"/>
  <c r="F166" i="5"/>
  <c r="H166" i="5" s="1"/>
  <c r="K166" i="5" s="1"/>
  <c r="K134" i="5" a="1"/>
  <c r="K134" i="5" s="1"/>
  <c r="F134" i="5"/>
  <c r="H134" i="5" s="1"/>
  <c r="D35" i="5"/>
  <c r="K141" i="5" a="1"/>
  <c r="K141" i="5" s="1"/>
  <c r="F141" i="5"/>
  <c r="H141" i="5" s="1"/>
  <c r="F111" i="5"/>
  <c r="H111" i="5" s="1"/>
  <c r="K111" i="5" a="1"/>
  <c r="K111" i="5" s="1"/>
  <c r="F165" i="5"/>
  <c r="H165" i="5" s="1"/>
  <c r="K165" i="5" s="1"/>
  <c r="F32" i="5"/>
  <c r="H32" i="5" s="1"/>
  <c r="K32" i="5" s="1"/>
  <c r="D34" i="5"/>
  <c r="F146" i="5"/>
  <c r="H146" i="5" s="1"/>
  <c r="F11" i="5"/>
  <c r="H11" i="5" s="1"/>
  <c r="K113" i="5" a="1"/>
  <c r="K113" i="5" s="1"/>
  <c r="F113" i="5"/>
  <c r="H113" i="5" s="1"/>
  <c r="F142" i="5"/>
  <c r="H142" i="5" s="1"/>
  <c r="D76" i="5"/>
  <c r="F76" i="5" s="1"/>
  <c r="H76" i="5" s="1"/>
  <c r="D77" i="5"/>
  <c r="F137" i="5"/>
  <c r="H137" i="5" s="1"/>
  <c r="F136" i="5"/>
  <c r="H136" i="5" s="1"/>
  <c r="F145" i="5"/>
  <c r="H145" i="5" s="1"/>
  <c r="F180" i="5"/>
  <c r="H180" i="5" s="1"/>
  <c r="F194" i="5"/>
  <c r="H194" i="5" s="1"/>
  <c r="L194" i="5" s="1"/>
  <c r="F11" i="1"/>
  <c r="H11" i="1" s="1"/>
  <c r="F15" i="1"/>
  <c r="F14" i="1"/>
  <c r="H14" i="1" s="1"/>
  <c r="F13" i="1"/>
  <c r="H13" i="1" s="1"/>
  <c r="F12" i="1"/>
  <c r="H12" i="1" s="1"/>
  <c r="K71" i="1"/>
  <c r="K102" i="1" s="1"/>
  <c r="K127" i="1" s="1"/>
  <c r="K158" i="1" s="1"/>
  <c r="K181" i="1" s="1"/>
  <c r="K196" i="1" s="1"/>
  <c r="K11" i="1" a="1"/>
  <c r="K11" i="1" s="1"/>
  <c r="K116" i="1" a="1"/>
  <c r="K116" i="1" s="1"/>
  <c r="L116" i="1" s="1"/>
  <c r="M116" i="1" s="1"/>
  <c r="K115" i="1" a="1"/>
  <c r="K115" i="1" s="1"/>
  <c r="L115" i="1" s="1"/>
  <c r="M115" i="1" s="1"/>
  <c r="K189" i="1" a="1"/>
  <c r="K189" i="1" s="1"/>
  <c r="O189" i="1" s="1"/>
  <c r="K190" i="1" a="1"/>
  <c r="K190" i="1" s="1"/>
  <c r="O190" i="1" s="1"/>
  <c r="F192" i="1"/>
  <c r="H192" i="1" s="1"/>
  <c r="L192" i="1" s="1"/>
  <c r="M192" i="1" s="1"/>
  <c r="O192" i="1" s="1"/>
  <c r="K188" i="1" a="1"/>
  <c r="K188" i="1" s="1"/>
  <c r="O188" i="1" s="1"/>
  <c r="F187" i="1"/>
  <c r="H187" i="1" s="1"/>
  <c r="L187" i="1" s="1"/>
  <c r="M187" i="1" s="1"/>
  <c r="F202" i="1"/>
  <c r="H202" i="1" s="1"/>
  <c r="L202" i="1" s="1"/>
  <c r="M202" i="1" s="1"/>
  <c r="O202" i="1" s="1"/>
  <c r="K179" i="1" a="1"/>
  <c r="K179" i="1" s="1"/>
  <c r="L179" i="1"/>
  <c r="M179" i="1" s="1"/>
  <c r="F43" i="1"/>
  <c r="H43" i="1" s="1"/>
  <c r="L43" i="1" s="1"/>
  <c r="M43" i="1" s="1"/>
  <c r="O43" i="1" s="1"/>
  <c r="K150" i="1" a="1"/>
  <c r="K150" i="1" s="1"/>
  <c r="L150" i="1" s="1"/>
  <c r="M150" i="1" s="1"/>
  <c r="K149" i="1" a="1"/>
  <c r="K149" i="1" s="1"/>
  <c r="L149" i="1" s="1"/>
  <c r="M149" i="1" s="1"/>
  <c r="O149" i="1" s="1"/>
  <c r="K148" i="1" a="1"/>
  <c r="K148" i="1" s="1"/>
  <c r="L148" i="1" s="1"/>
  <c r="M148" i="1" s="1"/>
  <c r="O148" i="1" s="1"/>
  <c r="F64" i="1"/>
  <c r="H64" i="1" s="1"/>
  <c r="L64" i="1" s="1"/>
  <c r="M64" i="1" s="1"/>
  <c r="O64" i="1" s="1"/>
  <c r="K178" i="1" a="1"/>
  <c r="K178" i="1" s="1"/>
  <c r="L178" i="1" s="1"/>
  <c r="M178" i="1" s="1"/>
  <c r="K110" i="1" a="1"/>
  <c r="K110" i="1" s="1"/>
  <c r="L110" i="1" s="1"/>
  <c r="M110" i="1" s="1"/>
  <c r="O110" i="1" s="1"/>
  <c r="K111" i="1" a="1"/>
  <c r="K111" i="1" s="1"/>
  <c r="L111" i="1" s="1"/>
  <c r="M111" i="1" s="1"/>
  <c r="O111" i="1" s="1"/>
  <c r="K108" i="1" a="1"/>
  <c r="K108" i="1" s="1"/>
  <c r="L108" i="1" s="1"/>
  <c r="M108" i="1" s="1"/>
  <c r="K165" i="1" a="1"/>
  <c r="K165" i="1" s="1"/>
  <c r="L165" i="1" s="1"/>
  <c r="M165" i="1" s="1"/>
  <c r="O165" i="1" s="1"/>
  <c r="K109" i="1" a="1"/>
  <c r="K109" i="1" s="1"/>
  <c r="L109" i="1" s="1"/>
  <c r="M109" i="1" s="1"/>
  <c r="O109" i="1" s="1"/>
  <c r="K114" i="1" a="1"/>
  <c r="K114" i="1" s="1"/>
  <c r="L114" i="1" s="1"/>
  <c r="M114" i="1" s="1"/>
  <c r="O114" i="1" s="1"/>
  <c r="K113" i="1" a="1"/>
  <c r="K113" i="1" s="1"/>
  <c r="L113" i="1" s="1"/>
  <c r="M113" i="1" s="1"/>
  <c r="O113" i="1" s="1"/>
  <c r="K112" i="1" a="1"/>
  <c r="K112" i="1" s="1"/>
  <c r="L112" i="1" s="1"/>
  <c r="M112" i="1" s="1"/>
  <c r="O112" i="1" s="1"/>
  <c r="K164" i="1" a="1"/>
  <c r="K164" i="1" s="1"/>
  <c r="K166" i="1" a="1"/>
  <c r="K166" i="1" s="1"/>
  <c r="L166" i="1" s="1"/>
  <c r="M166" i="1" s="1"/>
  <c r="K93" i="1" a="1"/>
  <c r="K93" i="1" s="1"/>
  <c r="K44" i="1" a="1"/>
  <c r="K44" i="1" s="1"/>
  <c r="K62" i="1" a="1"/>
  <c r="K62" i="1" s="1"/>
  <c r="L62" i="1" s="1"/>
  <c r="M62" i="1" s="1"/>
  <c r="K63" i="1" a="1"/>
  <c r="K63" i="1" s="1"/>
  <c r="L63" i="1" s="1"/>
  <c r="M63" i="1" s="1"/>
  <c r="K61" i="1" a="1"/>
  <c r="K61" i="1" s="1"/>
  <c r="L61" i="1" s="1"/>
  <c r="M61" i="1" s="1"/>
  <c r="K92" i="1" a="1"/>
  <c r="K92" i="1" s="1"/>
  <c r="L92" i="1" s="1"/>
  <c r="M92" i="1" s="1"/>
  <c r="K89" i="1" a="1"/>
  <c r="K89" i="1" s="1"/>
  <c r="K91" i="1" a="1"/>
  <c r="K91" i="1" s="1"/>
  <c r="D78" i="1"/>
  <c r="D79" i="1" s="1"/>
  <c r="D80" i="1" s="1"/>
  <c r="F80" i="1" s="1"/>
  <c r="H80" i="1" s="1"/>
  <c r="D16" i="1"/>
  <c r="D17" i="1" s="1"/>
  <c r="D18" i="1" s="1"/>
  <c r="D19" i="1" s="1"/>
  <c r="D20" i="1" s="1"/>
  <c r="D21" i="1" s="1"/>
  <c r="I25" i="1" s="1"/>
  <c r="F90" i="1"/>
  <c r="H90" i="1" s="1"/>
  <c r="F55" i="1"/>
  <c r="H55" i="1" s="1"/>
  <c r="D57" i="1"/>
  <c r="D59" i="1" s="1"/>
  <c r="F59" i="1" s="1"/>
  <c r="H59" i="1" s="1"/>
  <c r="F169" i="1"/>
  <c r="H169" i="1" s="1"/>
  <c r="L169" i="1" s="1"/>
  <c r="D170" i="1"/>
  <c r="D171" i="1" s="1"/>
  <c r="D172" i="1" s="1"/>
  <c r="D173" i="1" s="1"/>
  <c r="D174" i="1" s="1"/>
  <c r="D175" i="1" s="1"/>
  <c r="D176" i="1" s="1"/>
  <c r="D177" i="1" s="1"/>
  <c r="F48" i="1"/>
  <c r="H48" i="1" s="1"/>
  <c r="D50" i="1"/>
  <c r="D52" i="1" s="1"/>
  <c r="F53" i="1"/>
  <c r="H53" i="1" s="1"/>
  <c r="F132" i="1"/>
  <c r="H132" i="1" s="1"/>
  <c r="F147" i="1"/>
  <c r="H147" i="1" s="1"/>
  <c r="F45" i="1"/>
  <c r="H45" i="1" s="1"/>
  <c r="F47" i="1"/>
  <c r="H47" i="1" s="1"/>
  <c r="F77" i="1"/>
  <c r="H77" i="1" s="1"/>
  <c r="F46" i="1"/>
  <c r="H46" i="1" s="1"/>
  <c r="L46" i="1" s="1"/>
  <c r="M46" i="1" s="1"/>
  <c r="F133" i="1"/>
  <c r="H133" i="1" s="1"/>
  <c r="F168" i="1"/>
  <c r="H168" i="1" s="1"/>
  <c r="L168" i="1" s="1"/>
  <c r="F49" i="1"/>
  <c r="H49" i="1" s="1"/>
  <c r="F51" i="1"/>
  <c r="H51" i="1" s="1"/>
  <c r="F167" i="1"/>
  <c r="H167" i="1" s="1"/>
  <c r="L167" i="1" s="1"/>
  <c r="P33" i="7" l="1"/>
  <c r="M37" i="7"/>
  <c r="O37" i="7"/>
  <c r="M34" i="7"/>
  <c r="O34" i="7"/>
  <c r="P37" i="8"/>
  <c r="K39" i="8"/>
  <c r="L39" i="8"/>
  <c r="M39" i="8" s="1"/>
  <c r="P39" i="8" s="1"/>
  <c r="K41" i="8"/>
  <c r="K40" i="8"/>
  <c r="L40" i="8" s="1"/>
  <c r="M40" i="8" s="1"/>
  <c r="L38" i="8"/>
  <c r="M38" i="8" s="1"/>
  <c r="P38" i="8" s="1"/>
  <c r="F42" i="8"/>
  <c r="H42" i="8" s="1"/>
  <c r="D43" i="8"/>
  <c r="M16" i="7"/>
  <c r="D40" i="7"/>
  <c r="F40" i="7" s="1"/>
  <c r="H40" i="7" s="1"/>
  <c r="F38" i="7"/>
  <c r="H38" i="7" s="1"/>
  <c r="L77" i="7"/>
  <c r="L76" i="7"/>
  <c r="M76" i="7" s="1"/>
  <c r="P76" i="7" s="1"/>
  <c r="F168" i="7"/>
  <c r="H168" i="7" s="1"/>
  <c r="K167" i="7"/>
  <c r="L167" i="7" s="1"/>
  <c r="M167" i="7" s="1"/>
  <c r="P167" i="7" s="1"/>
  <c r="F42" i="7"/>
  <c r="H42" i="7" s="1"/>
  <c r="D44" i="7"/>
  <c r="F44" i="7" s="1"/>
  <c r="H44" i="7" s="1"/>
  <c r="D43" i="7"/>
  <c r="F43" i="7" s="1"/>
  <c r="H43" i="7" s="1"/>
  <c r="L15" i="7"/>
  <c r="M15" i="7" s="1"/>
  <c r="P15" i="7" s="1"/>
  <c r="K41" i="7"/>
  <c r="L41" i="7" s="1"/>
  <c r="M41" i="7" s="1"/>
  <c r="P41" i="7" s="1"/>
  <c r="K36" i="7"/>
  <c r="L36" i="7" s="1"/>
  <c r="M36" i="7" s="1"/>
  <c r="L114" i="5"/>
  <c r="L90" i="5"/>
  <c r="K76" i="5"/>
  <c r="L76" i="5" s="1"/>
  <c r="K11" i="5"/>
  <c r="L11" i="5" s="1"/>
  <c r="O11" i="5" s="1"/>
  <c r="K13" i="5"/>
  <c r="L13" i="5" s="1"/>
  <c r="O13" i="5" s="1"/>
  <c r="K12" i="5"/>
  <c r="L12" i="5" s="1"/>
  <c r="M52" i="5"/>
  <c r="L198" i="5"/>
  <c r="M198" i="5" s="1"/>
  <c r="P198" i="5" s="1"/>
  <c r="L197" i="5"/>
  <c r="M197" i="5" s="1"/>
  <c r="P197" i="5" s="1"/>
  <c r="L193" i="5"/>
  <c r="M193" i="5" s="1"/>
  <c r="P193" i="5" s="1"/>
  <c r="L195" i="5"/>
  <c r="M195" i="5" s="1"/>
  <c r="P195" i="5" s="1"/>
  <c r="M46" i="5"/>
  <c r="M53" i="5"/>
  <c r="M48" i="5"/>
  <c r="P48" i="5" s="1"/>
  <c r="M29" i="5"/>
  <c r="K51" i="5"/>
  <c r="L51" i="5" s="1"/>
  <c r="L180" i="5"/>
  <c r="M180" i="5" s="1"/>
  <c r="K180" i="5"/>
  <c r="K47" i="5"/>
  <c r="L47" i="5" s="1"/>
  <c r="K31" i="5"/>
  <c r="L31" i="5" s="1"/>
  <c r="K30" i="5"/>
  <c r="L30" i="5" s="1"/>
  <c r="L168" i="5"/>
  <c r="K33" i="5"/>
  <c r="L33" i="5" s="1"/>
  <c r="L166" i="5"/>
  <c r="P223" i="5"/>
  <c r="P224" i="5"/>
  <c r="P221" i="5"/>
  <c r="D225" i="5"/>
  <c r="F225" i="5" s="1"/>
  <c r="H225" i="5" s="1"/>
  <c r="L50" i="5"/>
  <c r="P208" i="5"/>
  <c r="P144" i="5"/>
  <c r="P138" i="5"/>
  <c r="P86" i="5"/>
  <c r="P81" i="5"/>
  <c r="P196" i="5"/>
  <c r="F169" i="5"/>
  <c r="H169" i="5" s="1"/>
  <c r="D170" i="5"/>
  <c r="L136" i="5"/>
  <c r="M136" i="5" s="1"/>
  <c r="P136" i="5" s="1"/>
  <c r="L134" i="5"/>
  <c r="M134" i="5" s="1"/>
  <c r="P134" i="5" s="1"/>
  <c r="L137" i="5"/>
  <c r="P89" i="5"/>
  <c r="L49" i="5"/>
  <c r="L146" i="5"/>
  <c r="M146" i="5" s="1"/>
  <c r="P146" i="5" s="1"/>
  <c r="L111" i="5"/>
  <c r="M111" i="5" s="1"/>
  <c r="P111" i="5" s="1"/>
  <c r="F77" i="5"/>
  <c r="H77" i="5" s="1"/>
  <c r="K77" i="5" s="1"/>
  <c r="D78" i="5"/>
  <c r="F14" i="5"/>
  <c r="H14" i="5" s="1"/>
  <c r="D15" i="5"/>
  <c r="D16" i="5" s="1"/>
  <c r="L145" i="5"/>
  <c r="M145" i="5" s="1"/>
  <c r="P145" i="5" s="1"/>
  <c r="L165" i="5"/>
  <c r="M165" i="5" s="1"/>
  <c r="P165" i="5" s="1"/>
  <c r="D37" i="5"/>
  <c r="F35" i="5"/>
  <c r="H35" i="5" s="1"/>
  <c r="K35" i="5" s="1"/>
  <c r="F34" i="5"/>
  <c r="H34" i="5" s="1"/>
  <c r="K34" i="5" s="1"/>
  <c r="D36" i="5"/>
  <c r="F82" i="5"/>
  <c r="H82" i="5" s="1"/>
  <c r="K82" i="5" s="1"/>
  <c r="L32" i="5"/>
  <c r="L142" i="5"/>
  <c r="M142" i="5" s="1"/>
  <c r="P142" i="5" s="1"/>
  <c r="L143" i="5"/>
  <c r="M143" i="5" s="1"/>
  <c r="P143" i="5" s="1"/>
  <c r="P147" i="5"/>
  <c r="M194" i="5"/>
  <c r="P194" i="5" s="1"/>
  <c r="L113" i="5"/>
  <c r="M113" i="5" s="1"/>
  <c r="P113" i="5" s="1"/>
  <c r="L141" i="5"/>
  <c r="M141" i="5" s="1"/>
  <c r="P141" i="5" s="1"/>
  <c r="F17" i="1"/>
  <c r="H17" i="1" s="1"/>
  <c r="L17" i="1" s="1"/>
  <c r="M17" i="1" s="1"/>
  <c r="F16" i="1"/>
  <c r="F18" i="1"/>
  <c r="F21" i="1"/>
  <c r="F19" i="1"/>
  <c r="F20" i="1"/>
  <c r="L11" i="1"/>
  <c r="N11" i="1" s="1" a="1"/>
  <c r="N11" i="1" s="1"/>
  <c r="O115" i="1"/>
  <c r="O116" i="1"/>
  <c r="O187" i="1"/>
  <c r="F191" i="1"/>
  <c r="H191" i="1" s="1"/>
  <c r="O179" i="1"/>
  <c r="O150" i="1"/>
  <c r="O178" i="1"/>
  <c r="O108" i="1"/>
  <c r="D22" i="1"/>
  <c r="L164" i="1"/>
  <c r="M164" i="1" s="1"/>
  <c r="O164" i="1" s="1"/>
  <c r="M169" i="1"/>
  <c r="O169" i="1" s="1"/>
  <c r="M167" i="1"/>
  <c r="O167" i="1" s="1"/>
  <c r="O166" i="1"/>
  <c r="M168" i="1"/>
  <c r="O168" i="1" s="1"/>
  <c r="L147" i="1"/>
  <c r="M147" i="1" s="1"/>
  <c r="O147" i="1" s="1"/>
  <c r="L132" i="1"/>
  <c r="M132" i="1" s="1"/>
  <c r="O132" i="1" s="1"/>
  <c r="L133" i="1"/>
  <c r="M133" i="1" s="1"/>
  <c r="O133" i="1" s="1"/>
  <c r="O61" i="1"/>
  <c r="O92" i="1"/>
  <c r="L49" i="1"/>
  <c r="M49" i="1" s="1"/>
  <c r="O49" i="1" s="1"/>
  <c r="L77" i="1"/>
  <c r="M77" i="1" s="1"/>
  <c r="O77" i="1" s="1"/>
  <c r="L47" i="1"/>
  <c r="M47" i="1" s="1"/>
  <c r="O47" i="1" s="1"/>
  <c r="L55" i="1"/>
  <c r="M55" i="1" s="1"/>
  <c r="O55" i="1" s="1"/>
  <c r="O63" i="1"/>
  <c r="L53" i="1"/>
  <c r="M53" i="1" s="1"/>
  <c r="O53" i="1" s="1"/>
  <c r="L14" i="1"/>
  <c r="L13" i="1"/>
  <c r="L48" i="1"/>
  <c r="M48" i="1" s="1"/>
  <c r="O48" i="1" s="1"/>
  <c r="L44" i="1"/>
  <c r="M44" i="1" s="1"/>
  <c r="O44" i="1" s="1"/>
  <c r="L80" i="1"/>
  <c r="M80" i="1" s="1"/>
  <c r="O80" i="1" s="1"/>
  <c r="L93" i="1"/>
  <c r="M93" i="1" s="1"/>
  <c r="O93" i="1" s="1"/>
  <c r="L59" i="1"/>
  <c r="M59" i="1" s="1"/>
  <c r="O59" i="1" s="1"/>
  <c r="L91" i="1"/>
  <c r="M91" i="1" s="1"/>
  <c r="O91" i="1" s="1"/>
  <c r="L45" i="1"/>
  <c r="M45" i="1" s="1"/>
  <c r="O45" i="1" s="1"/>
  <c r="L89" i="1"/>
  <c r="M89" i="1" s="1"/>
  <c r="O89" i="1" s="1"/>
  <c r="L90" i="1"/>
  <c r="M90" i="1" s="1"/>
  <c r="O90" i="1" s="1"/>
  <c r="O62" i="1"/>
  <c r="L12" i="1"/>
  <c r="O46" i="1"/>
  <c r="L51" i="1"/>
  <c r="M51" i="1" s="1"/>
  <c r="O51" i="1" s="1"/>
  <c r="F79" i="1"/>
  <c r="H79" i="1" s="1"/>
  <c r="F78" i="1"/>
  <c r="H78" i="1" s="1"/>
  <c r="D81" i="1"/>
  <c r="F81" i="1" s="1"/>
  <c r="H81" i="1" s="1"/>
  <c r="F170" i="1"/>
  <c r="H170" i="1" s="1"/>
  <c r="L170" i="1" s="1"/>
  <c r="F138" i="1"/>
  <c r="H138" i="1" s="1"/>
  <c r="F172" i="1"/>
  <c r="H172" i="1" s="1"/>
  <c r="L172" i="1" s="1"/>
  <c r="F57" i="1"/>
  <c r="H57" i="1" s="1"/>
  <c r="F173" i="1"/>
  <c r="H173" i="1" s="1"/>
  <c r="L173" i="1" s="1"/>
  <c r="F142" i="1"/>
  <c r="H142" i="1" s="1"/>
  <c r="F134" i="1"/>
  <c r="H134" i="1" s="1"/>
  <c r="F175" i="1"/>
  <c r="H175" i="1" s="1"/>
  <c r="L175" i="1" s="1"/>
  <c r="F50" i="1"/>
  <c r="H50" i="1" s="1"/>
  <c r="F145" i="1"/>
  <c r="H145" i="1" s="1"/>
  <c r="F141" i="1"/>
  <c r="H141" i="1" s="1"/>
  <c r="F135" i="1"/>
  <c r="H135" i="1" s="1"/>
  <c r="F146" i="1"/>
  <c r="H146" i="1" s="1"/>
  <c r="F143" i="1"/>
  <c r="H143" i="1" s="1"/>
  <c r="F136" i="1"/>
  <c r="H136" i="1" s="1"/>
  <c r="F137" i="1"/>
  <c r="H137" i="1" s="1"/>
  <c r="F144" i="1"/>
  <c r="H144" i="1" s="1"/>
  <c r="F174" i="1"/>
  <c r="H174" i="1" s="1"/>
  <c r="L174" i="1" s="1"/>
  <c r="I18" i="1"/>
  <c r="F52" i="1"/>
  <c r="H52" i="1" s="1"/>
  <c r="D54" i="1"/>
  <c r="F139" i="1"/>
  <c r="H139" i="1" s="1"/>
  <c r="F140" i="1"/>
  <c r="H140" i="1" s="1"/>
  <c r="F171" i="1"/>
  <c r="H171" i="1" s="1"/>
  <c r="L171" i="1" s="1"/>
  <c r="P37" i="7" l="1"/>
  <c r="P34" i="7"/>
  <c r="K42" i="8"/>
  <c r="L42" i="8" s="1"/>
  <c r="M42" i="8" s="1"/>
  <c r="P42" i="8" s="1"/>
  <c r="P40" i="8"/>
  <c r="L41" i="8"/>
  <c r="M41" i="8" s="1"/>
  <c r="P41" i="8" s="1"/>
  <c r="F43" i="8"/>
  <c r="H43" i="8" s="1"/>
  <c r="D45" i="8"/>
  <c r="F45" i="8" s="1"/>
  <c r="H45" i="8" s="1"/>
  <c r="D44" i="8"/>
  <c r="F44" i="8" s="1"/>
  <c r="H44" i="8" s="1"/>
  <c r="M168" i="5"/>
  <c r="O168" i="5"/>
  <c r="P16" i="7"/>
  <c r="P36" i="7"/>
  <c r="F169" i="7"/>
  <c r="H169" i="7" s="1"/>
  <c r="F170" i="7"/>
  <c r="H170" i="7" s="1"/>
  <c r="K168" i="7"/>
  <c r="L168" i="7" s="1"/>
  <c r="M168" i="7" s="1"/>
  <c r="M77" i="7"/>
  <c r="K38" i="7"/>
  <c r="L38" i="7" s="1"/>
  <c r="M38" i="7" s="1"/>
  <c r="P38" i="7" s="1"/>
  <c r="K43" i="7"/>
  <c r="L43" i="7" s="1"/>
  <c r="M43" i="7" s="1"/>
  <c r="P43" i="7" s="1"/>
  <c r="K42" i="7"/>
  <c r="L42" i="7" s="1"/>
  <c r="M42" i="7" s="1"/>
  <c r="P42" i="7" s="1"/>
  <c r="K40" i="7"/>
  <c r="L40" i="7" s="1"/>
  <c r="M40" i="7" s="1"/>
  <c r="P40" i="7" s="1"/>
  <c r="K44" i="7"/>
  <c r="L44" i="7" s="1"/>
  <c r="M44" i="7" s="1"/>
  <c r="P44" i="7" s="1"/>
  <c r="M114" i="5"/>
  <c r="O114" i="5"/>
  <c r="M137" i="5"/>
  <c r="P137" i="5" s="1"/>
  <c r="O137" i="5"/>
  <c r="M166" i="5"/>
  <c r="P166" i="5" s="1"/>
  <c r="O166" i="5"/>
  <c r="L199" i="5"/>
  <c r="O199" i="5" s="1"/>
  <c r="M76" i="5"/>
  <c r="O76" i="5"/>
  <c r="M90" i="5"/>
  <c r="O90" i="5"/>
  <c r="K14" i="5"/>
  <c r="L14" i="5" s="1"/>
  <c r="P46" i="5"/>
  <c r="P53" i="5"/>
  <c r="P52" i="5"/>
  <c r="M30" i="5"/>
  <c r="M31" i="5"/>
  <c r="M50" i="5"/>
  <c r="P29" i="5"/>
  <c r="M51" i="5"/>
  <c r="M49" i="5"/>
  <c r="M47" i="5"/>
  <c r="M32" i="5"/>
  <c r="M33" i="5"/>
  <c r="P180" i="5"/>
  <c r="L169" i="5"/>
  <c r="M169" i="5" s="1"/>
  <c r="P169" i="5" s="1"/>
  <c r="L225" i="5"/>
  <c r="M225" i="5" s="1"/>
  <c r="P225" i="5" s="1"/>
  <c r="F170" i="5"/>
  <c r="H170" i="5" s="1"/>
  <c r="D171" i="5"/>
  <c r="D38" i="5"/>
  <c r="F36" i="5"/>
  <c r="H36" i="5" s="1"/>
  <c r="K36" i="5" s="1"/>
  <c r="M11" i="5"/>
  <c r="P11" i="5" s="1"/>
  <c r="M13" i="5"/>
  <c r="P13" i="5" s="1"/>
  <c r="M12" i="5"/>
  <c r="P12" i="5" s="1"/>
  <c r="F78" i="5"/>
  <c r="H78" i="5" s="1"/>
  <c r="D79" i="5"/>
  <c r="L77" i="5"/>
  <c r="M77" i="5" s="1"/>
  <c r="P77" i="5" s="1"/>
  <c r="F83" i="5"/>
  <c r="H83" i="5" s="1"/>
  <c r="K83" i="5" s="1"/>
  <c r="L82" i="5"/>
  <c r="M82" i="5" s="1"/>
  <c r="P82" i="5" s="1"/>
  <c r="F15" i="5"/>
  <c r="H15" i="5" s="1"/>
  <c r="L34" i="5"/>
  <c r="L35" i="5"/>
  <c r="D39" i="5"/>
  <c r="F37" i="5"/>
  <c r="H37" i="5" s="1"/>
  <c r="K37" i="5" s="1"/>
  <c r="N17" i="1" a="1"/>
  <c r="N17" i="1" s="1"/>
  <c r="O17" i="1" s="1"/>
  <c r="D23" i="1"/>
  <c r="F22" i="1"/>
  <c r="M11" i="1"/>
  <c r="O11" i="1" s="1"/>
  <c r="L191" i="1"/>
  <c r="M191" i="1" s="1"/>
  <c r="O191" i="1" s="1"/>
  <c r="M12" i="1"/>
  <c r="N12" i="1" a="1"/>
  <c r="N12" i="1" s="1"/>
  <c r="M13" i="1"/>
  <c r="N13" i="1" a="1"/>
  <c r="N13" i="1" s="1"/>
  <c r="M14" i="1"/>
  <c r="N14" i="1" a="1"/>
  <c r="N14" i="1" s="1"/>
  <c r="M171" i="1"/>
  <c r="O171" i="1" s="1"/>
  <c r="M175" i="1"/>
  <c r="O175" i="1" s="1"/>
  <c r="M174" i="1"/>
  <c r="O174" i="1" s="1"/>
  <c r="M170" i="1"/>
  <c r="O170" i="1" s="1"/>
  <c r="M173" i="1"/>
  <c r="O173" i="1" s="1"/>
  <c r="M172" i="1"/>
  <c r="O172" i="1" s="1"/>
  <c r="L140" i="1"/>
  <c r="M140" i="1" s="1"/>
  <c r="O140" i="1" s="1"/>
  <c r="L134" i="1"/>
  <c r="M134" i="1" s="1"/>
  <c r="O134" i="1" s="1"/>
  <c r="L144" i="1"/>
  <c r="M144" i="1" s="1"/>
  <c r="O144" i="1" s="1"/>
  <c r="L142" i="1"/>
  <c r="M142" i="1" s="1"/>
  <c r="O142" i="1" s="1"/>
  <c r="L139" i="1"/>
  <c r="M139" i="1" s="1"/>
  <c r="O139" i="1" s="1"/>
  <c r="L137" i="1"/>
  <c r="M137" i="1" s="1"/>
  <c r="O137" i="1" s="1"/>
  <c r="L146" i="1"/>
  <c r="M146" i="1" s="1"/>
  <c r="O146" i="1" s="1"/>
  <c r="L138" i="1"/>
  <c r="M138" i="1" s="1"/>
  <c r="O138" i="1" s="1"/>
  <c r="L141" i="1"/>
  <c r="M141" i="1" s="1"/>
  <c r="O141" i="1" s="1"/>
  <c r="L145" i="1"/>
  <c r="M145" i="1" s="1"/>
  <c r="O145" i="1" s="1"/>
  <c r="L136" i="1"/>
  <c r="M136" i="1" s="1"/>
  <c r="O136" i="1" s="1"/>
  <c r="L143" i="1"/>
  <c r="M143" i="1" s="1"/>
  <c r="O143" i="1" s="1"/>
  <c r="L135" i="1"/>
  <c r="M135" i="1" s="1"/>
  <c r="O135" i="1" s="1"/>
  <c r="L50" i="1"/>
  <c r="M50" i="1" s="1"/>
  <c r="O50" i="1" s="1"/>
  <c r="L81" i="1"/>
  <c r="M81" i="1" s="1"/>
  <c r="O81" i="1" s="1"/>
  <c r="L78" i="1"/>
  <c r="M78" i="1" s="1"/>
  <c r="O78" i="1" s="1"/>
  <c r="L52" i="1"/>
  <c r="M52" i="1" s="1"/>
  <c r="L79" i="1"/>
  <c r="M79" i="1" s="1"/>
  <c r="O79" i="1" s="1"/>
  <c r="L57" i="1"/>
  <c r="M57" i="1" s="1"/>
  <c r="O57" i="1" s="1"/>
  <c r="H18" i="1"/>
  <c r="I22" i="1"/>
  <c r="D56" i="1"/>
  <c r="F54" i="1"/>
  <c r="H54" i="1" s="1"/>
  <c r="I19" i="1"/>
  <c r="H15" i="1"/>
  <c r="K45" i="8" l="1"/>
  <c r="L45" i="8" s="1"/>
  <c r="M45" i="8" s="1"/>
  <c r="P45" i="8" s="1"/>
  <c r="K44" i="8"/>
  <c r="L44" i="8" s="1"/>
  <c r="M44" i="8" s="1"/>
  <c r="P44" i="8" s="1"/>
  <c r="K43" i="8"/>
  <c r="P77" i="7"/>
  <c r="P168" i="5"/>
  <c r="K170" i="7"/>
  <c r="L170" i="7" s="1"/>
  <c r="M170" i="7" s="1"/>
  <c r="P170" i="7" s="1"/>
  <c r="K169" i="7"/>
  <c r="L169" i="7" s="1"/>
  <c r="P168" i="7"/>
  <c r="P114" i="5"/>
  <c r="M199" i="5"/>
  <c r="P199" i="5" s="1"/>
  <c r="K78" i="5"/>
  <c r="L78" i="5" s="1"/>
  <c r="P90" i="5"/>
  <c r="P76" i="5"/>
  <c r="K15" i="5"/>
  <c r="L15" i="5" s="1"/>
  <c r="P32" i="5"/>
  <c r="P49" i="5"/>
  <c r="M35" i="5"/>
  <c r="P50" i="5"/>
  <c r="P47" i="5"/>
  <c r="P51" i="5"/>
  <c r="M34" i="5"/>
  <c r="P33" i="5"/>
  <c r="P31" i="5"/>
  <c r="P30" i="5"/>
  <c r="K170" i="5"/>
  <c r="L170" i="5" s="1"/>
  <c r="M170" i="5" s="1"/>
  <c r="P170" i="5" s="1"/>
  <c r="F171" i="5"/>
  <c r="H171" i="5" s="1"/>
  <c r="D172" i="5"/>
  <c r="F38" i="5"/>
  <c r="H38" i="5" s="1"/>
  <c r="K38" i="5" s="1"/>
  <c r="D40" i="5"/>
  <c r="L37" i="5"/>
  <c r="F39" i="5"/>
  <c r="H39" i="5" s="1"/>
  <c r="K39" i="5" s="1"/>
  <c r="D41" i="5"/>
  <c r="L83" i="5"/>
  <c r="M83" i="5" s="1"/>
  <c r="P83" i="5" s="1"/>
  <c r="F85" i="5"/>
  <c r="H85" i="5" s="1"/>
  <c r="F84" i="5"/>
  <c r="H84" i="5" s="1"/>
  <c r="M14" i="5"/>
  <c r="P14" i="5" s="1"/>
  <c r="F79" i="5"/>
  <c r="H79" i="5" s="1"/>
  <c r="K79" i="5" s="1"/>
  <c r="D80" i="5"/>
  <c r="F80" i="5" s="1"/>
  <c r="H80" i="5" s="1"/>
  <c r="L36" i="5"/>
  <c r="D24" i="1"/>
  <c r="F23" i="1"/>
  <c r="O52" i="1"/>
  <c r="O14" i="1"/>
  <c r="O13" i="1"/>
  <c r="O12" i="1"/>
  <c r="L15" i="1"/>
  <c r="L54" i="1"/>
  <c r="M54" i="1" s="1"/>
  <c r="O54" i="1" s="1"/>
  <c r="L18" i="1"/>
  <c r="H19" i="1"/>
  <c r="I23" i="1"/>
  <c r="D58" i="1"/>
  <c r="F56" i="1"/>
  <c r="H56" i="1" s="1"/>
  <c r="I20" i="1"/>
  <c r="H16" i="1"/>
  <c r="D83" i="1"/>
  <c r="F82" i="1"/>
  <c r="H82" i="1" s="1"/>
  <c r="L43" i="8" l="1"/>
  <c r="M43" i="8" s="1"/>
  <c r="P43" i="8" s="1"/>
  <c r="M169" i="7"/>
  <c r="P169" i="7" s="1"/>
  <c r="K80" i="5"/>
  <c r="L80" i="5" s="1"/>
  <c r="M78" i="5"/>
  <c r="O78" i="5"/>
  <c r="M37" i="5"/>
  <c r="M36" i="5"/>
  <c r="P34" i="5"/>
  <c r="P35" i="5"/>
  <c r="K171" i="5"/>
  <c r="L171" i="5" s="1"/>
  <c r="M171" i="5" s="1"/>
  <c r="P171" i="5" s="1"/>
  <c r="F172" i="5"/>
  <c r="H172" i="5" s="1"/>
  <c r="D173" i="5"/>
  <c r="L84" i="5"/>
  <c r="M15" i="5"/>
  <c r="P15" i="5" s="1"/>
  <c r="L38" i="5"/>
  <c r="L79" i="5"/>
  <c r="M79" i="5" s="1"/>
  <c r="P79" i="5" s="1"/>
  <c r="L39" i="5"/>
  <c r="L85" i="5"/>
  <c r="M85" i="5" s="1"/>
  <c r="P85" i="5" s="1"/>
  <c r="F16" i="5"/>
  <c r="H16" i="5" s="1"/>
  <c r="F40" i="5"/>
  <c r="H40" i="5" s="1"/>
  <c r="K40" i="5" s="1"/>
  <c r="D42" i="5"/>
  <c r="F41" i="5"/>
  <c r="H41" i="5" s="1"/>
  <c r="K41" i="5" s="1"/>
  <c r="D25" i="1"/>
  <c r="F24" i="1"/>
  <c r="M18" i="1"/>
  <c r="N18" i="1" a="1"/>
  <c r="N18" i="1" s="1"/>
  <c r="M15" i="1"/>
  <c r="N15" i="1" a="1"/>
  <c r="N15" i="1" s="1"/>
  <c r="L56" i="1"/>
  <c r="M56" i="1" s="1"/>
  <c r="O56" i="1" s="1"/>
  <c r="L82" i="1"/>
  <c r="M82" i="1" s="1"/>
  <c r="O82" i="1" s="1"/>
  <c r="L19" i="1"/>
  <c r="L16" i="1"/>
  <c r="I24" i="1"/>
  <c r="H20" i="1"/>
  <c r="F176" i="1"/>
  <c r="H176" i="1" s="1"/>
  <c r="L176" i="1" s="1"/>
  <c r="F177" i="1"/>
  <c r="H177" i="1" s="1"/>
  <c r="L177" i="1" s="1"/>
  <c r="D84" i="1"/>
  <c r="F83" i="1"/>
  <c r="H83" i="1" s="1"/>
  <c r="I21" i="1"/>
  <c r="D60" i="1"/>
  <c r="F60" i="1" s="1"/>
  <c r="H60" i="1" s="1"/>
  <c r="F58" i="1"/>
  <c r="H58" i="1" s="1"/>
  <c r="M80" i="5" l="1"/>
  <c r="O80" i="5"/>
  <c r="P78" i="5"/>
  <c r="M84" i="5"/>
  <c r="O84" i="5"/>
  <c r="K16" i="5"/>
  <c r="L16" i="5" s="1"/>
  <c r="O16" i="5" s="1"/>
  <c r="M39" i="5"/>
  <c r="M38" i="5"/>
  <c r="P36" i="5"/>
  <c r="P37" i="5"/>
  <c r="K172" i="5"/>
  <c r="L172" i="5" s="1"/>
  <c r="M172" i="5" s="1"/>
  <c r="P172" i="5" s="1"/>
  <c r="F173" i="5"/>
  <c r="H173" i="5" s="1"/>
  <c r="D174" i="5"/>
  <c r="L40" i="5"/>
  <c r="L41" i="5"/>
  <c r="F42" i="5"/>
  <c r="H42" i="5" s="1"/>
  <c r="K42" i="5" s="1"/>
  <c r="D43" i="5"/>
  <c r="D44" i="5" s="1"/>
  <c r="F44" i="5" s="1"/>
  <c r="H44" i="5" s="1"/>
  <c r="K44" i="5" s="1"/>
  <c r="F25" i="1"/>
  <c r="H25" i="1" s="1"/>
  <c r="D26" i="1"/>
  <c r="M16" i="1"/>
  <c r="N16" i="1" a="1"/>
  <c r="N16" i="1" s="1"/>
  <c r="M19" i="1"/>
  <c r="N19" i="1" a="1"/>
  <c r="N19" i="1" s="1"/>
  <c r="O15" i="1"/>
  <c r="O18" i="1"/>
  <c r="M176" i="1"/>
  <c r="O176" i="1" s="1"/>
  <c r="M177" i="1"/>
  <c r="O177" i="1" s="1"/>
  <c r="L20" i="1"/>
  <c r="L58" i="1"/>
  <c r="M58" i="1" s="1"/>
  <c r="O58" i="1" s="1"/>
  <c r="L60" i="1"/>
  <c r="M60" i="1" s="1"/>
  <c r="O60" i="1" s="1"/>
  <c r="L83" i="1"/>
  <c r="M83" i="1" s="1"/>
  <c r="O83" i="1" s="1"/>
  <c r="H21" i="1"/>
  <c r="D85" i="1"/>
  <c r="F84" i="1"/>
  <c r="H84" i="1" s="1"/>
  <c r="P80" i="5" l="1"/>
  <c r="P84" i="5"/>
  <c r="M41" i="5"/>
  <c r="M40" i="5"/>
  <c r="P38" i="5"/>
  <c r="P39" i="5"/>
  <c r="K173" i="5"/>
  <c r="L173" i="5" s="1"/>
  <c r="M173" i="5" s="1"/>
  <c r="P173" i="5" s="1"/>
  <c r="D175" i="5"/>
  <c r="F174" i="5"/>
  <c r="H174" i="5" s="1"/>
  <c r="L44" i="5"/>
  <c r="M16" i="5"/>
  <c r="P16" i="5" s="1"/>
  <c r="F43" i="5"/>
  <c r="H43" i="5" s="1"/>
  <c r="K43" i="5" s="1"/>
  <c r="D45" i="5"/>
  <c r="F45" i="5" s="1"/>
  <c r="H45" i="5" s="1"/>
  <c r="K45" i="5" s="1"/>
  <c r="L42" i="5"/>
  <c r="L25" i="1"/>
  <c r="F26" i="1"/>
  <c r="H26" i="1" s="1"/>
  <c r="M20" i="1"/>
  <c r="N20" i="1" a="1"/>
  <c r="N20" i="1" s="1"/>
  <c r="O19" i="1"/>
  <c r="O16" i="1"/>
  <c r="L21" i="1"/>
  <c r="L84" i="1"/>
  <c r="M84" i="1" s="1"/>
  <c r="O84" i="1" s="1"/>
  <c r="H22" i="1"/>
  <c r="F85" i="1"/>
  <c r="H85" i="1" s="1"/>
  <c r="D86" i="1"/>
  <c r="P41" i="5" l="1"/>
  <c r="M42" i="5"/>
  <c r="M44" i="5"/>
  <c r="P40" i="5"/>
  <c r="L174" i="5"/>
  <c r="D176" i="5"/>
  <c r="F175" i="5"/>
  <c r="H175" i="5" s="1"/>
  <c r="L43" i="5"/>
  <c r="L45" i="5"/>
  <c r="L26" i="1"/>
  <c r="M25" i="1"/>
  <c r="N25" i="1" a="1"/>
  <c r="N25" i="1" s="1"/>
  <c r="M21" i="1"/>
  <c r="N21" i="1" a="1"/>
  <c r="N21" i="1" s="1"/>
  <c r="O20" i="1"/>
  <c r="L85" i="1"/>
  <c r="M85" i="1" s="1"/>
  <c r="O85" i="1" s="1"/>
  <c r="L22" i="1"/>
  <c r="H23" i="1"/>
  <c r="D87" i="1"/>
  <c r="F86" i="1"/>
  <c r="H86" i="1" s="1"/>
  <c r="M174" i="5" l="1"/>
  <c r="O174" i="5"/>
  <c r="M43" i="5"/>
  <c r="P43" i="5" s="1"/>
  <c r="M45" i="5"/>
  <c r="P44" i="5"/>
  <c r="P42" i="5"/>
  <c r="K175" i="5"/>
  <c r="L175" i="5" s="1"/>
  <c r="M175" i="5" s="1"/>
  <c r="P175" i="5" s="1"/>
  <c r="D177" i="5"/>
  <c r="F176" i="5"/>
  <c r="H176" i="5" s="1"/>
  <c r="O25" i="1"/>
  <c r="M26" i="1"/>
  <c r="N26" i="1" a="1"/>
  <c r="N26" i="1" s="1"/>
  <c r="M22" i="1"/>
  <c r="N22" i="1" a="1"/>
  <c r="N22" i="1" s="1"/>
  <c r="O21" i="1"/>
  <c r="L86" i="1"/>
  <c r="M86" i="1" s="1"/>
  <c r="O86" i="1" s="1"/>
  <c r="L23" i="1"/>
  <c r="H24" i="1"/>
  <c r="D88" i="1"/>
  <c r="F87" i="1"/>
  <c r="H87" i="1" s="1"/>
  <c r="P174" i="5" l="1"/>
  <c r="P45" i="5"/>
  <c r="K176" i="5"/>
  <c r="L176" i="5" s="1"/>
  <c r="M176" i="5" s="1"/>
  <c r="P176" i="5" s="1"/>
  <c r="D178" i="5"/>
  <c r="F178" i="5" s="1"/>
  <c r="H178" i="5" s="1"/>
  <c r="F177" i="5"/>
  <c r="H177" i="5" s="1"/>
  <c r="O26" i="1"/>
  <c r="M23" i="1"/>
  <c r="N23" i="1" a="1"/>
  <c r="N23" i="1" s="1"/>
  <c r="O22" i="1"/>
  <c r="L87" i="1"/>
  <c r="M87" i="1" s="1"/>
  <c r="O87" i="1" s="1"/>
  <c r="L24" i="1"/>
  <c r="F88" i="1"/>
  <c r="H88" i="1" s="1"/>
  <c r="K178" i="5" l="1"/>
  <c r="L178" i="5" s="1"/>
  <c r="M178" i="5" s="1"/>
  <c r="P178" i="5" s="1"/>
  <c r="K177" i="5"/>
  <c r="L177" i="5" s="1"/>
  <c r="M24" i="1"/>
  <c r="N24" i="1" a="1"/>
  <c r="N24" i="1" s="1"/>
  <c r="O23" i="1"/>
  <c r="L88" i="1"/>
  <c r="M88" i="1" s="1"/>
  <c r="O88" i="1" s="1"/>
  <c r="M177" i="5" l="1"/>
  <c r="P177" i="5" s="1"/>
  <c r="O177" i="5"/>
  <c r="O24" i="1"/>
  <c r="E39" i="2"/>
  <c r="E7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<sst xmlns="http://schemas.openxmlformats.org/spreadsheetml/2006/main" count="1201" uniqueCount="255">
  <si>
    <t>Prenomina</t>
  </si>
  <si>
    <t>Periodo:</t>
  </si>
  <si>
    <t>Desde:</t>
  </si>
  <si>
    <t>Hasta:</t>
  </si>
  <si>
    <t>Elaborado Por:</t>
  </si>
  <si>
    <t>Revisado Por:</t>
  </si>
  <si>
    <t>Horas:</t>
  </si>
  <si>
    <t>Area:</t>
  </si>
  <si>
    <t>Administrativa</t>
  </si>
  <si>
    <t>Vacaciones</t>
  </si>
  <si>
    <t>No. Exp</t>
  </si>
  <si>
    <t>Nombre y Apellido</t>
  </si>
  <si>
    <t>C.I</t>
  </si>
  <si>
    <t>A Cobrar</t>
  </si>
  <si>
    <t>Bonif</t>
  </si>
  <si>
    <t>Sal. Dev</t>
  </si>
  <si>
    <t>pago x vacaciones</t>
  </si>
  <si>
    <t>Almacén</t>
  </si>
  <si>
    <t>pago x Vacaciones</t>
  </si>
  <si>
    <t>Comercial</t>
  </si>
  <si>
    <t>Diseño e Informática</t>
  </si>
  <si>
    <t>Taguasco</t>
  </si>
  <si>
    <t>Choferes</t>
  </si>
  <si>
    <t xml:space="preserve">Servicios y seguridad y protección </t>
  </si>
  <si>
    <t>Dias. Vacaciones Acumuladas</t>
  </si>
  <si>
    <t>Salario. Acumulado</t>
  </si>
  <si>
    <t>Tarifa</t>
  </si>
  <si>
    <t xml:space="preserve">Michel García Izquierdo </t>
  </si>
  <si>
    <t>No exp</t>
  </si>
  <si>
    <t>Cargo</t>
  </si>
  <si>
    <t>Control y  Fiscalización</t>
  </si>
  <si>
    <t>Mabel Molina Fajardo</t>
  </si>
  <si>
    <t xml:space="preserve">Económica </t>
  </si>
  <si>
    <t>Yanet González Rodríguez</t>
  </si>
  <si>
    <t>Adjunta Administrativa</t>
  </si>
  <si>
    <t>Patricia San Gabino Delgado</t>
  </si>
  <si>
    <t>Amanda Miguel Marcano Bahler</t>
  </si>
  <si>
    <t>00122868475</t>
  </si>
  <si>
    <t xml:space="preserve">Recursos Humanos </t>
  </si>
  <si>
    <t>Heidy Allen Valdéz</t>
  </si>
  <si>
    <t>91090328651</t>
  </si>
  <si>
    <t>Asesor Empresarial</t>
  </si>
  <si>
    <t>Carlos Alberto García Lorente</t>
  </si>
  <si>
    <t>Adjunto a la dirección</t>
  </si>
  <si>
    <t>Leonardo Goberna Sánchez</t>
  </si>
  <si>
    <t>97042008188</t>
  </si>
  <si>
    <t>Ayudante Almacén</t>
  </si>
  <si>
    <t>Liván León López</t>
  </si>
  <si>
    <t>Norge Araújo Ortega</t>
  </si>
  <si>
    <t>Humberto Eugenio Blanco Hernanadez</t>
  </si>
  <si>
    <t>Samuel Elías Galán Zaldívar</t>
  </si>
  <si>
    <t>Jesús Pérez Fagundo</t>
  </si>
  <si>
    <t>Alexei  Llanes Gonzalez</t>
  </si>
  <si>
    <t>Cristian Corrales Rosario</t>
  </si>
  <si>
    <t>Rudens  Roberto Borbolla</t>
  </si>
  <si>
    <t>Roliel Rodríguez García</t>
  </si>
  <si>
    <t>Osmandy del Valle Milanés</t>
  </si>
  <si>
    <t>René Acosta Cruz</t>
  </si>
  <si>
    <t>89082821885</t>
  </si>
  <si>
    <t>Raymel Pérez Hernández</t>
  </si>
  <si>
    <t>99030806188</t>
  </si>
  <si>
    <t>Operario Auxiliar</t>
  </si>
  <si>
    <t xml:space="preserve">Amaury Acosta Hernández </t>
  </si>
  <si>
    <t>Bernardo Alfredo Zamora Sánchez</t>
  </si>
  <si>
    <t xml:space="preserve">José Zorrilla Aguilar </t>
  </si>
  <si>
    <t>Pedro Emilio Robaina Morales</t>
  </si>
  <si>
    <t>02021968481</t>
  </si>
  <si>
    <t>Nelson Darío Castro Pérez</t>
  </si>
  <si>
    <t>Exsuan José Carvajal</t>
  </si>
  <si>
    <t>97031207088</t>
  </si>
  <si>
    <t>Nestor Suárez Martínez</t>
  </si>
  <si>
    <t>92102030581</t>
  </si>
  <si>
    <t>Rafael Arias Aldana</t>
  </si>
  <si>
    <t>99120607402</t>
  </si>
  <si>
    <t>María Eugenia Cuevas Aguilera</t>
  </si>
  <si>
    <t>Yadira Araújo Zaldívar</t>
  </si>
  <si>
    <t>Jaila Victoria Vázquez Delgado</t>
  </si>
  <si>
    <t>02100773092</t>
  </si>
  <si>
    <t>Daned Montesino Hernández</t>
  </si>
  <si>
    <t>77020101011</t>
  </si>
  <si>
    <t>Lia León López</t>
  </si>
  <si>
    <t>02051466891</t>
  </si>
  <si>
    <t>Liana Pila Avila</t>
  </si>
  <si>
    <t>Janet Martínez Rodríguez</t>
  </si>
  <si>
    <t xml:space="preserve">Gabriel González Melcon </t>
  </si>
  <si>
    <t>Camila González Amable</t>
  </si>
  <si>
    <t>00110264738</t>
  </si>
  <si>
    <t>Elizabeth Hernández González</t>
  </si>
  <si>
    <t xml:space="preserve">Yunet de la Caridad Sotelo Porto </t>
  </si>
  <si>
    <t>85032505213</t>
  </si>
  <si>
    <t>Michel del Sol Hernández</t>
  </si>
  <si>
    <t>00010376089</t>
  </si>
  <si>
    <t>Laura Lobaina Llera</t>
  </si>
  <si>
    <t>95092328970</t>
  </si>
  <si>
    <t>Dayana Zailyn Rosabal Jaramillo</t>
  </si>
  <si>
    <t xml:space="preserve">Sheila González Tuero </t>
  </si>
  <si>
    <t>Onel Angel Martínez López</t>
  </si>
  <si>
    <t>99081600501</t>
  </si>
  <si>
    <t>Abraham Rodríguez Colina</t>
  </si>
  <si>
    <t>97051407323</t>
  </si>
  <si>
    <t>Roberto Palacios Díaz</t>
  </si>
  <si>
    <t>Logístico</t>
  </si>
  <si>
    <t xml:space="preserve">Ana Gloria Delgado Rodriguez </t>
  </si>
  <si>
    <t>99082510652</t>
  </si>
  <si>
    <t xml:space="preserve">Diseñador </t>
  </si>
  <si>
    <t>Dismar Alejandro Labañino Tressord</t>
  </si>
  <si>
    <t>00041979941</t>
  </si>
  <si>
    <t>Rowder Fernández Matos</t>
  </si>
  <si>
    <t>Informático</t>
  </si>
  <si>
    <t>Dael David Rodríguez Noa</t>
  </si>
  <si>
    <t>98022106389</t>
  </si>
  <si>
    <t>Michel Abreu Pardo</t>
  </si>
  <si>
    <t>87051210029</t>
  </si>
  <si>
    <t>María Ofelia Morgado Rodríguez</t>
  </si>
  <si>
    <t>Encargada Punto de Venta</t>
  </si>
  <si>
    <t>Pedro Luis Cruz Luna</t>
  </si>
  <si>
    <t>Amanda Valdés Cabrera</t>
  </si>
  <si>
    <t>04121272936</t>
  </si>
  <si>
    <t>Facturadora</t>
  </si>
  <si>
    <t>Beatriz González Santana</t>
  </si>
  <si>
    <t>96022414792</t>
  </si>
  <si>
    <t>María Josefa Pimienta Uría</t>
  </si>
  <si>
    <t>90061436559</t>
  </si>
  <si>
    <t>Lisbet Pina Crespo</t>
  </si>
  <si>
    <t>00091472957</t>
  </si>
  <si>
    <t>Marlys de la Caridad Rodriguez Santana</t>
  </si>
  <si>
    <t>00062372918</t>
  </si>
  <si>
    <t>Dariel Alberto Pérez Cancio</t>
  </si>
  <si>
    <t>Almacenero</t>
  </si>
  <si>
    <t>Yosbel Hernández Rodríguez</t>
  </si>
  <si>
    <t>Dasiel Hernández García</t>
  </si>
  <si>
    <t>Oscar Reyes García</t>
  </si>
  <si>
    <t>Junior Pérez Ramos</t>
  </si>
  <si>
    <t>Dayron Angel Pérez Chirino</t>
  </si>
  <si>
    <t>03113073183</t>
  </si>
  <si>
    <t>Luis Alberto Chirino Hernández</t>
  </si>
  <si>
    <t>97030613040</t>
  </si>
  <si>
    <t>Juan Carlos Pérez Morales</t>
  </si>
  <si>
    <t>97101013044</t>
  </si>
  <si>
    <t>Andrea Otero Díaz</t>
  </si>
  <si>
    <t>70021324130</t>
  </si>
  <si>
    <t>Auxiliar de Limpieza</t>
  </si>
  <si>
    <t>Rafael Tamarit Duany</t>
  </si>
  <si>
    <t>Control de Flota</t>
  </si>
  <si>
    <t>Adriel Agramonte Bernaldes</t>
  </si>
  <si>
    <t>84072608329</t>
  </si>
  <si>
    <t>Chofer</t>
  </si>
  <si>
    <t>Orestes Yamir Domínguez de la Puente</t>
  </si>
  <si>
    <t>Alain Carboneres Lezcano</t>
  </si>
  <si>
    <t>Adrián Tejeda Lobaina</t>
  </si>
  <si>
    <t>Ernesto Roque Portal</t>
  </si>
  <si>
    <t>Rogelio Catá Limonta</t>
  </si>
  <si>
    <t xml:space="preserve">Datney Moreno Romero </t>
  </si>
  <si>
    <t>771117066071</t>
  </si>
  <si>
    <t>Enrique Roque Barreras</t>
  </si>
  <si>
    <t>Geiler Vergara del Llano</t>
  </si>
  <si>
    <t>José Manuel Azahares Tejeda</t>
  </si>
  <si>
    <t>86090125783</t>
  </si>
  <si>
    <t xml:space="preserve"> Yensy Del Moral Domínguez</t>
  </si>
  <si>
    <t>82080307769</t>
  </si>
  <si>
    <t>Alexis Cabrera Menéndez</t>
  </si>
  <si>
    <t>Ariel Cabrera Menéndez</t>
  </si>
  <si>
    <t>Osvaldo Yasmany Oro Santiesteban</t>
  </si>
  <si>
    <t>90112141409</t>
  </si>
  <si>
    <t>Felix David Del Monte Balbuena</t>
  </si>
  <si>
    <t>96071809627</t>
  </si>
  <si>
    <t>Yendida Soler Cortina</t>
  </si>
  <si>
    <t>Auxiliar General</t>
  </si>
  <si>
    <t>Iván Llanes Oliveros</t>
  </si>
  <si>
    <t>Publicidad y Marketing</t>
  </si>
  <si>
    <t>Zaily Cruz Sánchez</t>
  </si>
  <si>
    <t>Morganti Sollet Matos</t>
  </si>
  <si>
    <t>02111067446</t>
  </si>
  <si>
    <t>Ayudante de Almacén</t>
  </si>
  <si>
    <t>Favio Alameda Cuevas</t>
  </si>
  <si>
    <t xml:space="preserve">Eriel Martínez Durán </t>
  </si>
  <si>
    <t xml:space="preserve">Linier Lazo Camero </t>
  </si>
  <si>
    <t>Danilier Cabrera Quiñonez</t>
  </si>
  <si>
    <t>Rachel Martell Salabarria</t>
  </si>
  <si>
    <t>Samuel Fernández Suárez</t>
  </si>
  <si>
    <t>98122020021</t>
  </si>
  <si>
    <t>Adrian Daniel Fernández Landivar</t>
  </si>
  <si>
    <t>Luis Ramón Díaz Alvarez</t>
  </si>
  <si>
    <t>01032963607</t>
  </si>
  <si>
    <t>María Félix Yanes González</t>
  </si>
  <si>
    <t>03042173197</t>
  </si>
  <si>
    <t xml:space="preserve">Maited Benitez Lugo </t>
  </si>
  <si>
    <t>Sujay Karina Prado Montero</t>
  </si>
  <si>
    <t>Diseñadora</t>
  </si>
  <si>
    <t>Salario Básico</t>
  </si>
  <si>
    <t>Tarifas por horas</t>
  </si>
  <si>
    <t>Salario a pagar</t>
  </si>
  <si>
    <t>Tarifas por Horas</t>
  </si>
  <si>
    <t xml:space="preserve">Tarifas x horas </t>
  </si>
  <si>
    <t>importe Seg Social</t>
  </si>
  <si>
    <t>importe Ing Pers</t>
  </si>
  <si>
    <t>Salario Neto</t>
  </si>
  <si>
    <t>Ausencias</t>
  </si>
  <si>
    <t>Horas Trabajadas</t>
  </si>
  <si>
    <t>Tarifas x horas</t>
  </si>
  <si>
    <t>Tarifas x Horas</t>
  </si>
  <si>
    <t>Horas trabajadas</t>
  </si>
  <si>
    <r>
      <t xml:space="preserve">                    </t>
    </r>
    <r>
      <rPr>
        <b/>
        <sz val="12"/>
        <color rgb="FF002060"/>
        <rFont val="Calibri"/>
        <family val="2"/>
        <scheme val="minor"/>
      </rPr>
      <t xml:space="preserve">         Departamento de Recursos Humanos</t>
    </r>
  </si>
  <si>
    <r>
      <t xml:space="preserve"> </t>
    </r>
    <r>
      <rPr>
        <sz val="10"/>
        <color theme="1"/>
        <rFont val="Calibri"/>
        <family val="2"/>
        <scheme val="minor"/>
      </rPr>
      <t xml:space="preserve">   </t>
    </r>
    <r>
      <rPr>
        <b/>
        <sz val="10"/>
        <color rgb="FF002060"/>
        <rFont val="Calibri"/>
        <family val="2"/>
        <scheme val="minor"/>
      </rPr>
      <t xml:space="preserve"> </t>
    </r>
    <r>
      <rPr>
        <b/>
        <sz val="11"/>
        <color rgb="FF002060"/>
        <rFont val="Calibri"/>
        <family val="2"/>
        <scheme val="minor"/>
      </rPr>
      <t>Departamento de Recursos Humanos</t>
    </r>
  </si>
  <si>
    <t xml:space="preserve">   Departamento de Recursos Humanos</t>
  </si>
  <si>
    <t xml:space="preserve">Revisador Por: </t>
  </si>
  <si>
    <t>_________________________</t>
  </si>
  <si>
    <t>horas</t>
  </si>
  <si>
    <t>Departamento de Recursos Humanos</t>
  </si>
  <si>
    <t>Departamento de Recursos Huanos</t>
  </si>
  <si>
    <t xml:space="preserve">                             Departamento de Recursos Humanos</t>
  </si>
  <si>
    <t>01112276730</t>
  </si>
  <si>
    <t>Lester Francisco Armas Dieguez</t>
  </si>
  <si>
    <t>00120667441</t>
  </si>
  <si>
    <t xml:space="preserve">Enmanuel Oscar Fonseca Heredia  </t>
  </si>
  <si>
    <t>Cristian David Pantaleón Averhoff</t>
  </si>
  <si>
    <t>05042178048</t>
  </si>
  <si>
    <t>Cristhian Camilo Cruz Napoles</t>
  </si>
  <si>
    <t>01092576745</t>
  </si>
  <si>
    <t>Patricia Rodríguez Campa</t>
  </si>
  <si>
    <t>Nurbi Selma Osoria</t>
  </si>
  <si>
    <t>Servicio</t>
  </si>
  <si>
    <t>89092321528</t>
  </si>
  <si>
    <t>Amanda Marcano Bahler</t>
  </si>
  <si>
    <t>OPERARIO AUXILIAR</t>
  </si>
  <si>
    <t>octubre</t>
  </si>
  <si>
    <t xml:space="preserve">Omar Soler Menéndez </t>
  </si>
  <si>
    <t>Ivan Agustin Hernandez Gonzalez</t>
  </si>
  <si>
    <t>Laurin Susana Castillo Ramirez</t>
  </si>
  <si>
    <t>02100662657</t>
  </si>
  <si>
    <t>Victor Damián Quesada Mojena</t>
  </si>
  <si>
    <t>Ayudante de almacén</t>
  </si>
  <si>
    <t xml:space="preserve">Ivis Arcos Gutiérrez  </t>
  </si>
  <si>
    <t>Erick De León Pedroso</t>
  </si>
  <si>
    <t>noviembre</t>
  </si>
  <si>
    <t>diciembre</t>
  </si>
  <si>
    <t>-</t>
  </si>
  <si>
    <t xml:space="preserve">Juan Ramón Alonso Benítez </t>
  </si>
  <si>
    <t>octubre2</t>
  </si>
  <si>
    <t>noviembre2</t>
  </si>
  <si>
    <t>Imp. Sobr. Ing. Per 3% (3260.00-9510.00)</t>
  </si>
  <si>
    <t>Imp. Sobr. Ing. Per 5% (9510.00-15000.00)</t>
  </si>
  <si>
    <r>
      <t xml:space="preserve">                    </t>
    </r>
    <r>
      <rPr>
        <b/>
        <sz val="26"/>
        <color rgb="FF002060"/>
        <rFont val="Calibri"/>
        <family val="2"/>
        <scheme val="minor"/>
      </rPr>
      <t xml:space="preserve">         Departamento de Recursos Humanos</t>
    </r>
  </si>
  <si>
    <r>
      <t xml:space="preserve">    </t>
    </r>
    <r>
      <rPr>
        <b/>
        <sz val="26"/>
        <color rgb="FF002060"/>
        <rFont val="Calibri"/>
        <family val="2"/>
        <scheme val="minor"/>
      </rPr>
      <t xml:space="preserve"> Departamento de Recursos Humanos</t>
    </r>
  </si>
  <si>
    <t>Alexey Olivera Gómez</t>
  </si>
  <si>
    <t>diciembre2</t>
  </si>
  <si>
    <t>enero 2026</t>
  </si>
  <si>
    <t>enero 20262</t>
  </si>
  <si>
    <t>febrero 2026</t>
  </si>
  <si>
    <t>febrero2026</t>
  </si>
  <si>
    <t>Horas</t>
  </si>
  <si>
    <t>amanda Marcano Bahler</t>
  </si>
  <si>
    <t>Yosván Ávila Berbén</t>
  </si>
  <si>
    <t>Coordinador de Seguridad y proteccion</t>
  </si>
  <si>
    <t xml:space="preserve">Walfrido Calvo Alonso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</si>
</sst>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charset val="134"/>
      <scheme val="minor"/>
    </font>
    <font>
      <b/>
      <sz val="12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Aptos"/>
      <family val="2"/>
    </font>
    <font>
      <sz val="11"/>
      <color theme="0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Aptos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1"/>
      <name val="Calibri"/>
      <family val="2"/>
    </font>
    <font>
      <sz val="20"/>
      <color theme="0"/>
      <name val="Calibri"/>
      <family val="2"/>
      <scheme val="minor"/>
    </font>
    <font>
      <b/>
      <sz val="26"/>
      <color rgb="FF002060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20"/>
      <color theme="1"/>
      <name val="Arial"/>
      <family val="2"/>
    </font>
    <font>
      <b/>
      <sz val="20"/>
      <color theme="1"/>
      <name val="Arial"/>
      <family val="2"/>
    </font>
    <font>
      <sz val="22"/>
      <color theme="1"/>
      <name val="Arial"/>
      <family val="2"/>
    </font>
    <font>
      <b/>
      <sz val="22"/>
      <color theme="1"/>
      <name val="Arial"/>
      <family val="2"/>
    </font>
    <font>
      <b/>
      <sz val="36"/>
      <color theme="1"/>
      <name val="Arial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26"/>
      <color theme="1"/>
      <name val="Arial"/>
      <family val="2"/>
    </font>
    <font>
      <b/>
      <sz val="26"/>
      <color theme="1"/>
      <name val="Arial"/>
      <family val="2"/>
    </font>
    <font>
      <sz val="28"/>
      <color theme="1"/>
      <name val="Arial"/>
      <family val="2"/>
    </font>
    <font>
      <b/>
      <sz val="28"/>
      <color theme="1"/>
      <name val="Arial"/>
      <family val="2"/>
    </font>
    <font>
      <b/>
      <sz val="20"/>
      <color rgb="FF002060"/>
      <name val="Arial"/>
      <family val="2"/>
    </font>
    <font>
      <u/>
      <sz val="22"/>
      <color theme="1"/>
      <name val="Calibri"/>
      <family val="2"/>
      <scheme val="minor"/>
    </font>
    <font>
      <sz val="20"/>
      <color theme="0"/>
      <name val="Arial"/>
      <family val="2"/>
    </font>
    <font>
      <sz val="30"/>
      <color theme="1"/>
      <name val="Arial"/>
      <family val="2"/>
    </font>
    <font>
      <b/>
      <sz val="30"/>
      <color theme="1"/>
      <name val="Arial"/>
      <family val="2"/>
    </font>
    <font>
      <b/>
      <sz val="26"/>
      <color rgb="FF002060"/>
      <name val="Arial"/>
      <family val="2"/>
    </font>
    <font>
      <sz val="12"/>
      <color theme="1"/>
      <name val="Calibri"/>
    </font>
    <font>
      <sz val="24"/>
      <color theme="1"/>
      <name val="Calibri"/>
      <family val="2"/>
      <scheme val="minor"/>
    </font>
    <font>
      <sz val="12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sz val="48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rgb="FFFF0000"/>
        <bgColor theme="0" tint="-0.14996795556505021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6969"/>
        <bgColor indexed="64"/>
      </patternFill>
    </fill>
    <fill>
      <patternFill patternType="solid">
        <fgColor rgb="FFFFFF93"/>
        <bgColor indexed="64"/>
      </patternFill>
    </fill>
    <fill>
      <patternFill patternType="solid">
        <fgColor rgb="FFFFFF93"/>
        <bgColor theme="0" tint="-0.14996795556505021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6" borderId="0" applyNumberFormat="0" applyBorder="0" applyAlignment="0" applyProtection="0"/>
  </cellStyleXfs>
  <cellXfs count="476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horizontal="center"/>
    </xf>
    <xf numFmtId="0" fontId="0" fillId="0" borderId="2" xfId="0" applyBorder="1" applyAlignment="1">
      <alignment wrapText="1"/>
    </xf>
    <xf numFmtId="2" fontId="0" fillId="0" borderId="1" xfId="0" applyNumberFormat="1" applyBorder="1"/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3" xfId="0" applyBorder="1" applyAlignment="1">
      <alignment wrapText="1"/>
    </xf>
    <xf numFmtId="49" fontId="0" fillId="0" borderId="3" xfId="0" applyNumberFormat="1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49" fontId="0" fillId="0" borderId="5" xfId="0" applyNumberFormat="1" applyBorder="1" applyAlignment="1">
      <alignment horizontal="center"/>
    </xf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1" xfId="0" applyBorder="1" applyAlignment="1">
      <alignment vertical="center"/>
    </xf>
    <xf numFmtId="0" fontId="10" fillId="0" borderId="1" xfId="0" applyFont="1" applyBorder="1" applyAlignment="1">
      <alignment wrapText="1"/>
    </xf>
    <xf numFmtId="49" fontId="10" fillId="0" borderId="1" xfId="0" applyNumberFormat="1" applyFont="1" applyBorder="1" applyAlignment="1">
      <alignment horizontal="center"/>
    </xf>
    <xf numFmtId="0" fontId="10" fillId="0" borderId="2" xfId="0" applyFont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10" fillId="0" borderId="2" xfId="0" applyFont="1" applyBorder="1" applyAlignment="1">
      <alignment horizontal="left"/>
    </xf>
    <xf numFmtId="49" fontId="10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wrapText="1"/>
    </xf>
    <xf numFmtId="0" fontId="14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2" fontId="16" fillId="0" borderId="0" xfId="0" applyNumberFormat="1" applyFont="1"/>
    <xf numFmtId="0" fontId="17" fillId="0" borderId="0" xfId="0" applyFont="1"/>
    <xf numFmtId="2" fontId="17" fillId="0" borderId="0" xfId="0" applyNumberFormat="1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right" vertical="center" wrapText="1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19" fillId="4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11" fillId="0" borderId="1" xfId="0" applyFont="1" applyBorder="1" applyAlignment="1">
      <alignment vertical="center"/>
    </xf>
    <xf numFmtId="49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vertical="center"/>
    </xf>
    <xf numFmtId="0" fontId="0" fillId="0" borderId="3" xfId="0" applyBorder="1"/>
    <xf numFmtId="2" fontId="0" fillId="0" borderId="3" xfId="0" applyNumberFormat="1" applyBorder="1"/>
    <xf numFmtId="0" fontId="0" fillId="0" borderId="10" xfId="0" applyBorder="1"/>
    <xf numFmtId="0" fontId="21" fillId="3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/>
    </xf>
    <xf numFmtId="0" fontId="19" fillId="3" borderId="0" xfId="0" applyFont="1" applyFill="1" applyAlignment="1">
      <alignment horizontal="center" vertical="center" wrapText="1"/>
    </xf>
    <xf numFmtId="2" fontId="15" fillId="0" borderId="0" xfId="0" applyNumberFormat="1" applyFont="1" applyAlignment="1">
      <alignment horizontal="center" vertical="center" wrapText="1"/>
    </xf>
    <xf numFmtId="2" fontId="15" fillId="3" borderId="0" xfId="0" applyNumberFormat="1" applyFont="1" applyFill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2" fontId="15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8" fillId="0" borderId="0" xfId="0" applyFont="1"/>
    <xf numFmtId="0" fontId="0" fillId="0" borderId="1" xfId="0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4" fillId="0" borderId="0" xfId="0" applyFont="1" applyAlignment="1">
      <alignment horizontal="center"/>
    </xf>
    <xf numFmtId="2" fontId="0" fillId="3" borderId="0" xfId="0" applyNumberFormat="1" applyFill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19" fillId="5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20" fillId="2" borderId="0" xfId="0" applyFont="1" applyFill="1" applyAlignment="1">
      <alignment horizontal="center" vertical="center" wrapText="1"/>
    </xf>
    <xf numFmtId="2" fontId="15" fillId="3" borderId="0" xfId="0" applyNumberFormat="1" applyFont="1" applyFill="1" applyAlignment="1">
      <alignment horizontal="center"/>
    </xf>
    <xf numFmtId="2" fontId="19" fillId="2" borderId="0" xfId="0" applyNumberFormat="1" applyFont="1" applyFill="1" applyAlignment="1">
      <alignment horizontal="center" vertical="center" wrapText="1"/>
    </xf>
    <xf numFmtId="2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left" vertical="center" wrapText="1" indent="1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/>
    </xf>
    <xf numFmtId="0" fontId="5" fillId="2" borderId="0" xfId="0" applyFont="1" applyFill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2" fontId="0" fillId="5" borderId="0" xfId="0" applyNumberFormat="1" applyFill="1" applyAlignment="1">
      <alignment horizontal="center" vertical="center" wrapText="1"/>
    </xf>
    <xf numFmtId="0" fontId="22" fillId="0" borderId="1" xfId="0" applyFont="1" applyBorder="1" applyAlignment="1">
      <alignment wrapText="1"/>
    </xf>
    <xf numFmtId="0" fontId="7" fillId="0" borderId="0" xfId="0" applyFont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8" xfId="0" applyFont="1" applyBorder="1" applyAlignment="1">
      <alignment horizontal="center"/>
    </xf>
    <xf numFmtId="14" fontId="0" fillId="0" borderId="8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29" fillId="0" borderId="0" xfId="0" applyFont="1" applyAlignment="1">
      <alignment horizontal="center"/>
    </xf>
    <xf numFmtId="2" fontId="30" fillId="0" borderId="0" xfId="0" applyNumberFormat="1" applyFont="1"/>
    <xf numFmtId="0" fontId="13" fillId="0" borderId="1" xfId="0" applyFont="1" applyBorder="1"/>
    <xf numFmtId="0" fontId="11" fillId="0" borderId="1" xfId="0" quotePrefix="1" applyFont="1" applyBorder="1" applyAlignment="1">
      <alignment horizontal="center"/>
    </xf>
    <xf numFmtId="2" fontId="0" fillId="0" borderId="2" xfId="0" applyNumberFormat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33" fillId="0" borderId="0" xfId="0" applyFont="1"/>
    <xf numFmtId="2" fontId="33" fillId="0" borderId="0" xfId="0" applyNumberFormat="1" applyFont="1"/>
    <xf numFmtId="2" fontId="0" fillId="8" borderId="1" xfId="0" applyNumberFormat="1" applyFill="1" applyBorder="1"/>
    <xf numFmtId="0" fontId="35" fillId="0" borderId="0" xfId="0" applyFont="1" applyAlignment="1">
      <alignment horizont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right" vertical="center"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center"/>
    </xf>
    <xf numFmtId="0" fontId="35" fillId="0" borderId="0" xfId="0" applyFont="1" applyAlignment="1">
      <alignment horizontal="center" wrapText="1"/>
    </xf>
    <xf numFmtId="0" fontId="35" fillId="0" borderId="10" xfId="0" applyFont="1" applyBorder="1" applyAlignment="1">
      <alignment horizontal="center" wrapText="1"/>
    </xf>
    <xf numFmtId="0" fontId="35" fillId="0" borderId="1" xfId="0" applyFont="1" applyBorder="1" applyAlignment="1">
      <alignment horizontal="center" wrapText="1"/>
    </xf>
    <xf numFmtId="0" fontId="35" fillId="0" borderId="0" xfId="0" applyFont="1" applyAlignment="1">
      <alignment horizontal="center" vertical="center" wrapText="1"/>
    </xf>
    <xf numFmtId="2" fontId="35" fillId="0" borderId="0" xfId="0" applyNumberFormat="1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2" fontId="36" fillId="0" borderId="0" xfId="0" applyNumberFormat="1" applyFont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35" fillId="0" borderId="0" xfId="0" applyFont="1" applyAlignment="1">
      <alignment horizontal="left"/>
    </xf>
    <xf numFmtId="0" fontId="35" fillId="8" borderId="0" xfId="0" applyFont="1" applyFill="1" applyAlignment="1">
      <alignment horizontal="center"/>
    </xf>
    <xf numFmtId="0" fontId="35" fillId="0" borderId="0" xfId="0" applyFont="1"/>
    <xf numFmtId="2" fontId="35" fillId="0" borderId="0" xfId="0" applyNumberFormat="1" applyFont="1" applyAlignment="1">
      <alignment horizontal="center"/>
    </xf>
    <xf numFmtId="0" fontId="36" fillId="0" borderId="0" xfId="0" applyFont="1" applyAlignment="1">
      <alignment horizontal="center" vertical="center" wrapText="1"/>
    </xf>
    <xf numFmtId="0" fontId="35" fillId="7" borderId="0" xfId="0" applyFont="1" applyFill="1" applyAlignment="1">
      <alignment horizontal="center"/>
    </xf>
    <xf numFmtId="1" fontId="35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0" fontId="35" fillId="0" borderId="10" xfId="0" applyFont="1" applyBorder="1" applyAlignment="1">
      <alignment horizontal="center"/>
    </xf>
    <xf numFmtId="0" fontId="35" fillId="2" borderId="0" xfId="0" applyFont="1" applyFill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left"/>
    </xf>
    <xf numFmtId="0" fontId="39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6" fillId="0" borderId="7" xfId="0" applyFont="1" applyBorder="1" applyAlignment="1">
      <alignment horizontal="center" vertical="center" wrapText="1"/>
    </xf>
    <xf numFmtId="0" fontId="46" fillId="0" borderId="5" xfId="0" applyFont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 wrapText="1"/>
    </xf>
    <xf numFmtId="0" fontId="47" fillId="0" borderId="6" xfId="0" applyFont="1" applyBorder="1" applyAlignment="1">
      <alignment horizontal="center" vertical="center" wrapText="1"/>
    </xf>
    <xf numFmtId="0" fontId="46" fillId="0" borderId="0" xfId="0" applyFont="1" applyAlignment="1">
      <alignment horizontal="center"/>
    </xf>
    <xf numFmtId="0" fontId="40" fillId="0" borderId="8" xfId="0" applyFont="1" applyBorder="1" applyAlignment="1">
      <alignment horizontal="center"/>
    </xf>
    <xf numFmtId="0" fontId="40" fillId="0" borderId="9" xfId="0" applyFont="1" applyBorder="1" applyAlignment="1">
      <alignment horizontal="center"/>
    </xf>
    <xf numFmtId="14" fontId="40" fillId="0" borderId="8" xfId="0" applyNumberFormat="1" applyFont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14" fontId="46" fillId="0" borderId="8" xfId="0" applyNumberFormat="1" applyFont="1" applyBorder="1" applyAlignment="1">
      <alignment horizontal="center" vertical="center"/>
    </xf>
    <xf numFmtId="14" fontId="46" fillId="0" borderId="0" xfId="0" applyNumberFormat="1" applyFont="1" applyAlignment="1">
      <alignment horizontal="center" vertical="center"/>
    </xf>
    <xf numFmtId="0" fontId="46" fillId="0" borderId="8" xfId="0" applyFont="1" applyBorder="1" applyAlignment="1">
      <alignment horizontal="center"/>
    </xf>
    <xf numFmtId="0" fontId="46" fillId="0" borderId="9" xfId="0" applyFont="1" applyBorder="1" applyAlignment="1">
      <alignment horizontal="center"/>
    </xf>
    <xf numFmtId="0" fontId="47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46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center"/>
    </xf>
    <xf numFmtId="2" fontId="46" fillId="0" borderId="0" xfId="0" applyNumberFormat="1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/>
    <xf numFmtId="0" fontId="46" fillId="0" borderId="0" xfId="0" applyFont="1" applyAlignment="1">
      <alignment horizontal="left"/>
    </xf>
    <xf numFmtId="2" fontId="46" fillId="0" borderId="0" xfId="0" applyNumberFormat="1" applyFont="1" applyAlignment="1">
      <alignment horizontal="center"/>
    </xf>
    <xf numFmtId="2" fontId="47" fillId="0" borderId="0" xfId="0" applyNumberFormat="1" applyFont="1" applyAlignment="1">
      <alignment horizontal="center" vertical="center" wrapText="1"/>
    </xf>
    <xf numFmtId="0" fontId="46" fillId="0" borderId="0" xfId="0" applyFont="1" applyAlignment="1">
      <alignment horizontal="right" vertical="center" wrapText="1"/>
    </xf>
    <xf numFmtId="0" fontId="48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0" xfId="0" applyFont="1" applyAlignment="1">
      <alignment horizontal="left" vertical="center" wrapText="1"/>
    </xf>
    <xf numFmtId="0" fontId="53" fillId="0" borderId="0" xfId="0" applyFont="1" applyAlignment="1">
      <alignment horizontal="center"/>
    </xf>
    <xf numFmtId="0" fontId="53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0" fontId="55" fillId="0" borderId="0" xfId="0" applyFont="1" applyAlignment="1">
      <alignment horizontal="left" vertical="center" wrapText="1"/>
    </xf>
    <xf numFmtId="2" fontId="55" fillId="0" borderId="0" xfId="0" applyNumberFormat="1" applyFont="1" applyAlignment="1">
      <alignment horizontal="right" vertical="center" wrapText="1"/>
    </xf>
    <xf numFmtId="0" fontId="55" fillId="0" borderId="0" xfId="0" applyFont="1" applyAlignment="1">
      <alignment horizontal="right" vertical="center" wrapText="1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right" vertical="center"/>
    </xf>
    <xf numFmtId="2" fontId="56" fillId="0" borderId="0" xfId="0" applyNumberFormat="1" applyFont="1" applyAlignment="1">
      <alignment horizontal="right" vertical="center" wrapText="1"/>
    </xf>
    <xf numFmtId="0" fontId="55" fillId="0" borderId="0" xfId="0" applyFont="1" applyAlignment="1">
      <alignment horizont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horizontal="right"/>
    </xf>
    <xf numFmtId="0" fontId="55" fillId="7" borderId="0" xfId="0" applyFont="1" applyFill="1" applyAlignment="1">
      <alignment horizontal="left" vertical="center" wrapText="1"/>
    </xf>
    <xf numFmtId="0" fontId="55" fillId="7" borderId="0" xfId="0" applyFont="1" applyFill="1" applyAlignment="1">
      <alignment horizontal="center" vertical="center"/>
    </xf>
    <xf numFmtId="2" fontId="55" fillId="7" borderId="0" xfId="0" applyNumberFormat="1" applyFont="1" applyFill="1" applyAlignment="1">
      <alignment horizontal="right" vertical="center" wrapText="1"/>
    </xf>
    <xf numFmtId="0" fontId="55" fillId="7" borderId="0" xfId="0" applyFont="1" applyFill="1" applyAlignment="1">
      <alignment horizontal="right" vertical="center" wrapText="1"/>
    </xf>
    <xf numFmtId="0" fontId="55" fillId="7" borderId="0" xfId="0" applyFont="1" applyFill="1" applyAlignment="1">
      <alignment horizontal="right"/>
    </xf>
    <xf numFmtId="0" fontId="56" fillId="7" borderId="0" xfId="0" applyFont="1" applyFill="1" applyAlignment="1">
      <alignment horizontal="right" vertical="center"/>
    </xf>
    <xf numFmtId="2" fontId="56" fillId="7" borderId="0" xfId="0" applyNumberFormat="1" applyFont="1" applyFill="1" applyAlignment="1">
      <alignment horizontal="right" vertical="center" wrapText="1"/>
    </xf>
    <xf numFmtId="0" fontId="48" fillId="0" borderId="7" xfId="0" applyFont="1" applyBorder="1" applyAlignment="1">
      <alignment horizontal="center" vertical="center" wrapText="1"/>
    </xf>
    <xf numFmtId="0" fontId="48" fillId="0" borderId="5" xfId="0" applyFont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 wrapText="1"/>
    </xf>
    <xf numFmtId="0" fontId="49" fillId="0" borderId="6" xfId="0" applyFont="1" applyBorder="1" applyAlignment="1">
      <alignment horizontal="center" vertical="center" wrapText="1"/>
    </xf>
    <xf numFmtId="0" fontId="55" fillId="0" borderId="0" xfId="0" applyFont="1" applyAlignment="1">
      <alignment horizontal="left" vertical="center"/>
    </xf>
    <xf numFmtId="2" fontId="55" fillId="0" borderId="0" xfId="0" applyNumberFormat="1" applyFont="1" applyAlignment="1">
      <alignment horizontal="right" vertical="center"/>
    </xf>
    <xf numFmtId="1" fontId="56" fillId="0" borderId="0" xfId="0" applyNumberFormat="1" applyFont="1" applyAlignment="1">
      <alignment horizontal="right" vertical="center" wrapText="1"/>
    </xf>
    <xf numFmtId="0" fontId="55" fillId="7" borderId="0" xfId="0" applyFont="1" applyFill="1" applyAlignment="1">
      <alignment horizontal="center"/>
    </xf>
    <xf numFmtId="0" fontId="56" fillId="7" borderId="0" xfId="0" applyFont="1" applyFill="1" applyAlignment="1">
      <alignment horizontal="right" vertical="center" wrapText="1"/>
    </xf>
    <xf numFmtId="0" fontId="55" fillId="8" borderId="0" xfId="0" applyFont="1" applyFill="1" applyAlignment="1">
      <alignment horizontal="center" vertical="center" wrapText="1"/>
    </xf>
    <xf numFmtId="0" fontId="55" fillId="8" borderId="0" xfId="0" applyFont="1" applyFill="1" applyAlignment="1">
      <alignment horizontal="left" vertical="center" wrapText="1"/>
    </xf>
    <xf numFmtId="0" fontId="55" fillId="8" borderId="0" xfId="0" applyFont="1" applyFill="1" applyAlignment="1">
      <alignment horizontal="center" vertical="center"/>
    </xf>
    <xf numFmtId="2" fontId="55" fillId="8" borderId="0" xfId="0" applyNumberFormat="1" applyFont="1" applyFill="1" applyAlignment="1">
      <alignment horizontal="right" vertical="center" wrapText="1"/>
    </xf>
    <xf numFmtId="0" fontId="55" fillId="8" borderId="0" xfId="0" applyFont="1" applyFill="1" applyAlignment="1">
      <alignment horizontal="right" vertical="center" wrapText="1"/>
    </xf>
    <xf numFmtId="0" fontId="56" fillId="8" borderId="0" xfId="0" applyFont="1" applyFill="1" applyAlignment="1">
      <alignment horizontal="right" vertical="center" wrapText="1"/>
    </xf>
    <xf numFmtId="0" fontId="55" fillId="8" borderId="0" xfId="0" applyFont="1" applyFill="1" applyAlignment="1">
      <alignment horizontal="right"/>
    </xf>
    <xf numFmtId="0" fontId="56" fillId="8" borderId="0" xfId="0" applyFont="1" applyFill="1" applyAlignment="1">
      <alignment horizontal="right" vertical="center"/>
    </xf>
    <xf numFmtId="0" fontId="56" fillId="8" borderId="0" xfId="0" applyFont="1" applyFill="1" applyAlignment="1">
      <alignment horizontal="right"/>
    </xf>
    <xf numFmtId="2" fontId="56" fillId="8" borderId="0" xfId="0" applyNumberFormat="1" applyFont="1" applyFill="1" applyAlignment="1">
      <alignment horizontal="right" vertical="center" wrapText="1"/>
    </xf>
    <xf numFmtId="2" fontId="53" fillId="0" borderId="0" xfId="0" applyNumberFormat="1" applyFont="1" applyAlignment="1">
      <alignment horizontal="right" vertical="center" wrapText="1"/>
    </xf>
    <xf numFmtId="0" fontId="53" fillId="0" borderId="0" xfId="0" applyFont="1" applyAlignment="1">
      <alignment horizontal="right" vertical="center" wrapText="1"/>
    </xf>
    <xf numFmtId="0" fontId="54" fillId="0" borderId="0" xfId="0" applyFont="1" applyAlignment="1">
      <alignment horizontal="right" vertical="center" wrapText="1"/>
    </xf>
    <xf numFmtId="0" fontId="54" fillId="0" borderId="0" xfId="0" applyFont="1" applyAlignment="1">
      <alignment horizontal="right"/>
    </xf>
    <xf numFmtId="0" fontId="53" fillId="0" borderId="0" xfId="0" applyFont="1" applyAlignment="1">
      <alignment horizontal="right"/>
    </xf>
    <xf numFmtId="2" fontId="54" fillId="0" borderId="0" xfId="0" applyNumberFormat="1" applyFont="1" applyAlignment="1">
      <alignment horizontal="right"/>
    </xf>
    <xf numFmtId="0" fontId="54" fillId="0" borderId="0" xfId="0" applyFont="1" applyAlignment="1">
      <alignment horizontal="right" vertical="center"/>
    </xf>
    <xf numFmtId="2" fontId="54" fillId="0" borderId="0" xfId="0" applyNumberFormat="1" applyFont="1" applyAlignment="1">
      <alignment horizontal="right" vertical="center" wrapText="1"/>
    </xf>
    <xf numFmtId="0" fontId="53" fillId="0" borderId="0" xfId="0" applyFont="1" applyAlignment="1">
      <alignment horizontal="left"/>
    </xf>
    <xf numFmtId="2" fontId="53" fillId="0" borderId="0" xfId="0" applyNumberFormat="1" applyFont="1" applyAlignment="1">
      <alignment horizontal="right"/>
    </xf>
    <xf numFmtId="0" fontId="53" fillId="8" borderId="0" xfId="0" applyFont="1" applyFill="1" applyAlignment="1">
      <alignment horizontal="center" vertical="center" wrapText="1"/>
    </xf>
    <xf numFmtId="0" fontId="53" fillId="8" borderId="0" xfId="0" applyFont="1" applyFill="1" applyAlignment="1">
      <alignment horizontal="left" vertical="center" wrapText="1"/>
    </xf>
    <xf numFmtId="0" fontId="53" fillId="8" borderId="0" xfId="0" applyFont="1" applyFill="1" applyAlignment="1">
      <alignment horizontal="center" vertical="center"/>
    </xf>
    <xf numFmtId="2" fontId="53" fillId="8" borderId="0" xfId="0" applyNumberFormat="1" applyFont="1" applyFill="1" applyAlignment="1">
      <alignment horizontal="right" vertical="center" wrapText="1"/>
    </xf>
    <xf numFmtId="0" fontId="53" fillId="8" borderId="0" xfId="0" applyFont="1" applyFill="1" applyAlignment="1">
      <alignment horizontal="right" vertical="center" wrapText="1"/>
    </xf>
    <xf numFmtId="0" fontId="54" fillId="8" borderId="0" xfId="0" applyFont="1" applyFill="1" applyAlignment="1">
      <alignment horizontal="right" vertical="center" wrapText="1"/>
    </xf>
    <xf numFmtId="0" fontId="53" fillId="8" borderId="0" xfId="0" applyFont="1" applyFill="1" applyAlignment="1">
      <alignment horizontal="right"/>
    </xf>
    <xf numFmtId="0" fontId="54" fillId="8" borderId="0" xfId="0" applyFont="1" applyFill="1" applyAlignment="1">
      <alignment horizontal="right" vertical="center"/>
    </xf>
    <xf numFmtId="0" fontId="54" fillId="8" borderId="0" xfId="0" applyFont="1" applyFill="1" applyAlignment="1">
      <alignment horizontal="right"/>
    </xf>
    <xf numFmtId="2" fontId="54" fillId="8" borderId="0" xfId="0" applyNumberFormat="1" applyFont="1" applyFill="1" applyAlignment="1">
      <alignment horizontal="right"/>
    </xf>
    <xf numFmtId="2" fontId="53" fillId="8" borderId="0" xfId="0" applyNumberFormat="1" applyFont="1" applyFill="1" applyAlignment="1">
      <alignment horizontal="right"/>
    </xf>
    <xf numFmtId="2" fontId="53" fillId="0" borderId="0" xfId="0" applyNumberFormat="1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54" fillId="0" borderId="0" xfId="0" applyFont="1" applyAlignment="1">
      <alignment horizontal="center"/>
    </xf>
    <xf numFmtId="2" fontId="54" fillId="0" borderId="0" xfId="0" applyNumberFormat="1" applyFont="1" applyAlignment="1">
      <alignment horizontal="center"/>
    </xf>
    <xf numFmtId="0" fontId="57" fillId="0" borderId="0" xfId="0" applyFont="1" applyAlignment="1">
      <alignment horizontal="center"/>
    </xf>
    <xf numFmtId="0" fontId="48" fillId="0" borderId="8" xfId="0" applyFont="1" applyBorder="1" applyAlignment="1">
      <alignment horizontal="center"/>
    </xf>
    <xf numFmtId="0" fontId="48" fillId="0" borderId="9" xfId="0" applyFont="1" applyBorder="1" applyAlignment="1">
      <alignment horizontal="center"/>
    </xf>
    <xf numFmtId="14" fontId="48" fillId="0" borderId="8" xfId="0" applyNumberFormat="1" applyFont="1" applyBorder="1" applyAlignment="1">
      <alignment horizontal="center" vertical="center"/>
    </xf>
    <xf numFmtId="14" fontId="48" fillId="0" borderId="0" xfId="0" applyNumberFormat="1" applyFont="1" applyAlignment="1">
      <alignment horizontal="center" vertical="center"/>
    </xf>
    <xf numFmtId="0" fontId="56" fillId="4" borderId="0" xfId="0" applyFont="1" applyFill="1" applyAlignment="1">
      <alignment horizontal="right" vertical="center"/>
    </xf>
    <xf numFmtId="0" fontId="55" fillId="7" borderId="0" xfId="0" applyFont="1" applyFill="1" applyAlignment="1">
      <alignment horizontal="center" vertical="center" wrapText="1"/>
    </xf>
    <xf numFmtId="2" fontId="55" fillId="7" borderId="0" xfId="0" applyNumberFormat="1" applyFont="1" applyFill="1" applyAlignment="1">
      <alignment horizontal="right" vertical="center"/>
    </xf>
    <xf numFmtId="0" fontId="40" fillId="0" borderId="0" xfId="0" applyFont="1"/>
    <xf numFmtId="0" fontId="58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39" fillId="0" borderId="0" xfId="0" applyFont="1"/>
    <xf numFmtId="0" fontId="55" fillId="0" borderId="0" xfId="0" applyFont="1"/>
    <xf numFmtId="0" fontId="55" fillId="0" borderId="0" xfId="0" applyFont="1" applyAlignment="1">
      <alignment horizontal="left" wrapText="1"/>
    </xf>
    <xf numFmtId="0" fontId="55" fillId="0" borderId="0" xfId="0" applyFont="1" applyAlignment="1">
      <alignment horizontal="left"/>
    </xf>
    <xf numFmtId="2" fontId="55" fillId="0" borderId="0" xfId="0" applyNumberFormat="1" applyFont="1" applyAlignment="1">
      <alignment horizontal="right"/>
    </xf>
    <xf numFmtId="1" fontId="55" fillId="0" borderId="0" xfId="0" applyNumberFormat="1" applyFont="1" applyAlignment="1">
      <alignment horizontal="right"/>
    </xf>
    <xf numFmtId="0" fontId="55" fillId="8" borderId="0" xfId="0" applyFont="1" applyFill="1" applyAlignment="1">
      <alignment horizontal="center"/>
    </xf>
    <xf numFmtId="0" fontId="55" fillId="8" borderId="0" xfId="0" applyFont="1" applyFill="1" applyAlignment="1">
      <alignment horizontal="left"/>
    </xf>
    <xf numFmtId="2" fontId="55" fillId="8" borderId="0" xfId="0" applyNumberFormat="1" applyFont="1" applyFill="1" applyAlignment="1">
      <alignment horizontal="right"/>
    </xf>
    <xf numFmtId="0" fontId="48" fillId="0" borderId="6" xfId="0" applyFont="1" applyBorder="1" applyAlignment="1">
      <alignment horizontal="center" vertical="center" wrapText="1"/>
    </xf>
    <xf numFmtId="0" fontId="47" fillId="0" borderId="0" xfId="0" applyFont="1"/>
    <xf numFmtId="0" fontId="59" fillId="0" borderId="0" xfId="0" applyFont="1" applyAlignment="1">
      <alignment horizontal="center"/>
    </xf>
    <xf numFmtId="0" fontId="56" fillId="0" borderId="0" xfId="0" applyFont="1" applyAlignment="1">
      <alignment horizontal="right"/>
    </xf>
    <xf numFmtId="0" fontId="55" fillId="0" borderId="0" xfId="0" applyFont="1" applyAlignment="1">
      <alignment horizontal="right" vertical="center"/>
    </xf>
    <xf numFmtId="0" fontId="56" fillId="0" borderId="0" xfId="0" applyFont="1" applyAlignment="1">
      <alignment horizontal="center"/>
    </xf>
    <xf numFmtId="0" fontId="60" fillId="0" borderId="0" xfId="0" applyFont="1" applyAlignment="1">
      <alignment horizontal="center" vertical="center" wrapText="1"/>
    </xf>
    <xf numFmtId="0" fontId="60" fillId="0" borderId="0" xfId="0" applyFont="1" applyAlignment="1">
      <alignment horizontal="left" vertical="center" wrapText="1"/>
    </xf>
    <xf numFmtId="2" fontId="60" fillId="0" borderId="0" xfId="0" applyNumberFormat="1" applyFont="1" applyAlignment="1">
      <alignment horizontal="right" vertical="center" wrapText="1"/>
    </xf>
    <xf numFmtId="0" fontId="60" fillId="0" borderId="0" xfId="0" applyFont="1" applyAlignment="1">
      <alignment horizontal="right" vertical="center" wrapText="1"/>
    </xf>
    <xf numFmtId="0" fontId="61" fillId="0" borderId="0" xfId="0" applyFont="1" applyAlignment="1">
      <alignment horizontal="right" vertical="center"/>
    </xf>
    <xf numFmtId="0" fontId="60" fillId="0" borderId="0" xfId="0" applyFont="1" applyAlignment="1">
      <alignment horizontal="right"/>
    </xf>
    <xf numFmtId="2" fontId="61" fillId="0" borderId="0" xfId="0" applyNumberFormat="1" applyFont="1" applyAlignment="1">
      <alignment horizontal="right" vertical="center" wrapText="1"/>
    </xf>
    <xf numFmtId="2" fontId="60" fillId="0" borderId="0" xfId="0" applyNumberFormat="1" applyFont="1" applyAlignment="1">
      <alignment horizontal="right"/>
    </xf>
    <xf numFmtId="0" fontId="60" fillId="0" borderId="0" xfId="0" applyFont="1" applyAlignment="1">
      <alignment horizontal="center"/>
    </xf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horizontal="right" vertical="center" wrapText="1"/>
    </xf>
    <xf numFmtId="0" fontId="60" fillId="0" borderId="0" xfId="0" applyFont="1" applyAlignment="1">
      <alignment horizontal="left"/>
    </xf>
    <xf numFmtId="0" fontId="60" fillId="7" borderId="0" xfId="0" applyFont="1" applyFill="1" applyAlignment="1">
      <alignment horizontal="center"/>
    </xf>
    <xf numFmtId="0" fontId="60" fillId="7" borderId="0" xfId="0" applyFont="1" applyFill="1" applyAlignment="1">
      <alignment horizontal="left"/>
    </xf>
    <xf numFmtId="2" fontId="60" fillId="7" borderId="0" xfId="0" applyNumberFormat="1" applyFont="1" applyFill="1" applyAlignment="1">
      <alignment horizontal="right" vertical="center" wrapText="1"/>
    </xf>
    <xf numFmtId="2" fontId="60" fillId="7" borderId="0" xfId="0" applyNumberFormat="1" applyFont="1" applyFill="1" applyAlignment="1">
      <alignment horizontal="right"/>
    </xf>
    <xf numFmtId="0" fontId="60" fillId="7" borderId="0" xfId="0" applyFont="1" applyFill="1" applyAlignment="1">
      <alignment horizontal="right"/>
    </xf>
    <xf numFmtId="0" fontId="61" fillId="7" borderId="0" xfId="0" applyFont="1" applyFill="1" applyAlignment="1">
      <alignment horizontal="right" vertical="center"/>
    </xf>
    <xf numFmtId="2" fontId="60" fillId="7" borderId="0" xfId="0" applyNumberFormat="1" applyFont="1" applyFill="1" applyAlignment="1">
      <alignment horizontal="right" vertical="center"/>
    </xf>
    <xf numFmtId="2" fontId="61" fillId="7" borderId="0" xfId="0" applyNumberFormat="1" applyFont="1" applyFill="1" applyAlignment="1">
      <alignment horizontal="right" vertical="center" wrapText="1"/>
    </xf>
    <xf numFmtId="2" fontId="60" fillId="0" borderId="0" xfId="0" applyNumberFormat="1" applyFont="1" applyAlignment="1">
      <alignment horizontal="right" vertical="center"/>
    </xf>
    <xf numFmtId="0" fontId="61" fillId="0" borderId="0" xfId="0" applyFont="1" applyAlignment="1">
      <alignment horizontal="right"/>
    </xf>
    <xf numFmtId="165" fontId="60" fillId="0" borderId="0" xfId="0" applyNumberFormat="1" applyFont="1" applyAlignment="1">
      <alignment horizontal="right"/>
    </xf>
    <xf numFmtId="0" fontId="60" fillId="0" borderId="0" xfId="0" applyFont="1" applyAlignment="1">
      <alignment horizontal="right" vertical="center"/>
    </xf>
    <xf numFmtId="0" fontId="52" fillId="0" borderId="1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60" fillId="0" borderId="0" xfId="0" applyFont="1" applyAlignment="1">
      <alignment horizontal="left" vertical="center"/>
    </xf>
    <xf numFmtId="0" fontId="60" fillId="8" borderId="0" xfId="0" applyFont="1" applyFill="1" applyAlignment="1">
      <alignment horizontal="center"/>
    </xf>
    <xf numFmtId="0" fontId="60" fillId="8" borderId="0" xfId="0" applyFont="1" applyFill="1" applyAlignment="1">
      <alignment horizontal="left"/>
    </xf>
    <xf numFmtId="2" fontId="60" fillId="8" borderId="0" xfId="0" applyNumberFormat="1" applyFont="1" applyFill="1" applyAlignment="1">
      <alignment horizontal="right" vertical="center"/>
    </xf>
    <xf numFmtId="2" fontId="60" fillId="8" borderId="0" xfId="0" applyNumberFormat="1" applyFont="1" applyFill="1" applyAlignment="1">
      <alignment horizontal="right" vertical="center" wrapText="1"/>
    </xf>
    <xf numFmtId="0" fontId="60" fillId="8" borderId="0" xfId="0" applyFont="1" applyFill="1" applyAlignment="1">
      <alignment horizontal="right"/>
    </xf>
    <xf numFmtId="0" fontId="61" fillId="8" borderId="0" xfId="0" applyFont="1" applyFill="1" applyAlignment="1">
      <alignment horizontal="right"/>
    </xf>
    <xf numFmtId="0" fontId="61" fillId="8" borderId="0" xfId="0" applyFont="1" applyFill="1" applyAlignment="1">
      <alignment horizontal="right" vertical="center"/>
    </xf>
    <xf numFmtId="0" fontId="60" fillId="8" borderId="0" xfId="0" applyFont="1" applyFill="1" applyAlignment="1">
      <alignment horizontal="right" vertical="center" wrapText="1"/>
    </xf>
    <xf numFmtId="2" fontId="61" fillId="8" borderId="0" xfId="0" applyNumberFormat="1" applyFont="1" applyFill="1" applyAlignment="1">
      <alignment horizontal="right" vertical="center" wrapText="1"/>
    </xf>
    <xf numFmtId="2" fontId="60" fillId="0" borderId="0" xfId="0" applyNumberFormat="1" applyFont="1" applyAlignment="1">
      <alignment horizontal="center" vertical="center"/>
    </xf>
    <xf numFmtId="2" fontId="60" fillId="0" borderId="0" xfId="0" applyNumberFormat="1" applyFont="1" applyAlignment="1">
      <alignment horizontal="center" vertical="center" wrapText="1"/>
    </xf>
    <xf numFmtId="0" fontId="61" fillId="0" borderId="0" xfId="0" applyFont="1" applyAlignment="1">
      <alignment horizontal="center"/>
    </xf>
    <xf numFmtId="0" fontId="61" fillId="0" borderId="0" xfId="0" applyFont="1" applyAlignment="1">
      <alignment horizontal="center" vertical="center"/>
    </xf>
    <xf numFmtId="2" fontId="61" fillId="0" borderId="0" xfId="0" applyNumberFormat="1" applyFont="1" applyAlignment="1">
      <alignment horizontal="center" vertical="center" wrapText="1"/>
    </xf>
    <xf numFmtId="0" fontId="52" fillId="0" borderId="2" xfId="0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0" fontId="60" fillId="8" borderId="0" xfId="0" applyFont="1" applyFill="1" applyAlignment="1">
      <alignment vertical="center"/>
    </xf>
    <xf numFmtId="0" fontId="60" fillId="8" borderId="0" xfId="0" applyFont="1" applyFill="1" applyAlignment="1">
      <alignment horizontal="center" vertical="center"/>
    </xf>
    <xf numFmtId="2" fontId="60" fillId="8" borderId="0" xfId="0" applyNumberFormat="1" applyFont="1" applyFill="1" applyAlignment="1">
      <alignment horizontal="center" vertical="center"/>
    </xf>
    <xf numFmtId="0" fontId="60" fillId="8" borderId="0" xfId="0" applyFont="1" applyFill="1" applyAlignment="1">
      <alignment horizontal="center" vertical="center" wrapText="1"/>
    </xf>
    <xf numFmtId="0" fontId="61" fillId="8" borderId="0" xfId="0" applyFont="1" applyFill="1" applyAlignment="1">
      <alignment horizontal="center" vertical="center" wrapText="1"/>
    </xf>
    <xf numFmtId="0" fontId="61" fillId="9" borderId="0" xfId="0" applyFont="1" applyFill="1" applyAlignment="1">
      <alignment horizontal="center" vertical="center"/>
    </xf>
    <xf numFmtId="2" fontId="60" fillId="9" borderId="0" xfId="0" applyNumberFormat="1" applyFont="1" applyFill="1" applyAlignment="1">
      <alignment horizontal="center" vertical="center" wrapText="1"/>
    </xf>
    <xf numFmtId="2" fontId="60" fillId="8" borderId="0" xfId="0" applyNumberFormat="1" applyFont="1" applyFill="1" applyAlignment="1">
      <alignment horizontal="center" vertical="center" wrapText="1"/>
    </xf>
    <xf numFmtId="2" fontId="61" fillId="8" borderId="0" xfId="0" applyNumberFormat="1" applyFont="1" applyFill="1" applyAlignment="1">
      <alignment horizontal="center" vertical="center" wrapText="1"/>
    </xf>
    <xf numFmtId="0" fontId="62" fillId="0" borderId="0" xfId="0" applyFont="1" applyAlignment="1">
      <alignment horizontal="center"/>
    </xf>
    <xf numFmtId="0" fontId="61" fillId="0" borderId="0" xfId="0" applyFont="1" applyAlignment="1">
      <alignment horizontal="center" vertical="center" wrapText="1"/>
    </xf>
    <xf numFmtId="2" fontId="60" fillId="0" borderId="0" xfId="0" applyNumberFormat="1" applyFont="1" applyAlignment="1">
      <alignment horizontal="center"/>
    </xf>
    <xf numFmtId="2" fontId="56" fillId="0" borderId="11" xfId="0" applyNumberFormat="1" applyFont="1" applyBorder="1" applyAlignment="1">
      <alignment horizontal="right" vertical="center" wrapText="1"/>
    </xf>
    <xf numFmtId="1" fontId="56" fillId="8" borderId="0" xfId="0" applyNumberFormat="1" applyFont="1" applyFill="1" applyAlignment="1">
      <alignment horizontal="right" vertical="center" wrapText="1"/>
    </xf>
    <xf numFmtId="1" fontId="56" fillId="8" borderId="0" xfId="0" applyNumberFormat="1" applyFont="1" applyFill="1" applyAlignment="1">
      <alignment horizontal="right"/>
    </xf>
    <xf numFmtId="1" fontId="60" fillId="8" borderId="0" xfId="0" applyNumberFormat="1" applyFont="1" applyFill="1" applyAlignment="1">
      <alignment horizontal="right"/>
    </xf>
    <xf numFmtId="0" fontId="52" fillId="0" borderId="0" xfId="0" applyFont="1"/>
    <xf numFmtId="0" fontId="52" fillId="0" borderId="0" xfId="0" applyFont="1" applyAlignment="1">
      <alignment horizontal="center" wrapText="1"/>
    </xf>
    <xf numFmtId="2" fontId="52" fillId="0" borderId="0" xfId="0" applyNumberFormat="1" applyFont="1"/>
    <xf numFmtId="0" fontId="52" fillId="0" borderId="0" xfId="0" applyFont="1" applyAlignment="1">
      <alignment wrapText="1"/>
    </xf>
    <xf numFmtId="2" fontId="52" fillId="6" borderId="0" xfId="1" applyNumberFormat="1" applyFont="1" applyBorder="1"/>
    <xf numFmtId="0" fontId="52" fillId="7" borderId="0" xfId="0" applyFont="1" applyFill="1"/>
    <xf numFmtId="0" fontId="52" fillId="7" borderId="0" xfId="1" applyFont="1" applyFill="1" applyBorder="1"/>
    <xf numFmtId="2" fontId="52" fillId="7" borderId="0" xfId="1" applyNumberFormat="1" applyFont="1" applyFill="1" applyBorder="1"/>
    <xf numFmtId="2" fontId="52" fillId="7" borderId="0" xfId="0" applyNumberFormat="1" applyFont="1" applyFill="1"/>
    <xf numFmtId="2" fontId="16" fillId="7" borderId="0" xfId="0" applyNumberFormat="1" applyFont="1" applyFill="1"/>
    <xf numFmtId="2" fontId="17" fillId="7" borderId="0" xfId="0" applyNumberFormat="1" applyFont="1" applyFill="1"/>
    <xf numFmtId="0" fontId="0" fillId="7" borderId="0" xfId="0" applyFill="1"/>
    <xf numFmtId="2" fontId="52" fillId="7" borderId="0" xfId="0" applyNumberFormat="1" applyFont="1" applyFill="1" applyAlignment="1">
      <alignment horizontal="right"/>
    </xf>
    <xf numFmtId="0" fontId="52" fillId="7" borderId="0" xfId="1" applyNumberFormat="1" applyFont="1" applyFill="1" applyBorder="1"/>
    <xf numFmtId="0" fontId="28" fillId="0" borderId="0" xfId="0" applyFont="1"/>
    <xf numFmtId="0" fontId="31" fillId="0" borderId="1" xfId="0" quotePrefix="1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" fillId="0" borderId="0" xfId="0" applyFont="1"/>
    <xf numFmtId="0" fontId="0" fillId="0" borderId="1" xfId="0" quotePrefix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7" borderId="1" xfId="0" applyFill="1" applyBorder="1"/>
    <xf numFmtId="0" fontId="2" fillId="7" borderId="1" xfId="0" applyFont="1" applyFill="1" applyBorder="1" applyAlignment="1">
      <alignment horizontal="center"/>
    </xf>
    <xf numFmtId="2" fontId="0" fillId="7" borderId="2" xfId="0" applyNumberFormat="1" applyFill="1" applyBorder="1"/>
    <xf numFmtId="0" fontId="0" fillId="7" borderId="10" xfId="0" applyFill="1" applyBorder="1"/>
    <xf numFmtId="0" fontId="0" fillId="7" borderId="1" xfId="0" applyFill="1" applyBorder="1" applyAlignment="1">
      <alignment horizontal="center"/>
    </xf>
    <xf numFmtId="2" fontId="0" fillId="7" borderId="1" xfId="0" applyNumberFormat="1" applyFill="1" applyBorder="1"/>
    <xf numFmtId="0" fontId="0" fillId="7" borderId="3" xfId="0" applyFill="1" applyBorder="1"/>
    <xf numFmtId="0" fontId="0" fillId="7" borderId="3" xfId="0" quotePrefix="1" applyFill="1" applyBorder="1" applyAlignment="1">
      <alignment horizontal="center"/>
    </xf>
    <xf numFmtId="0" fontId="0" fillId="7" borderId="1" xfId="0" applyFill="1" applyBorder="1" applyAlignment="1">
      <alignment wrapText="1"/>
    </xf>
    <xf numFmtId="49" fontId="0" fillId="7" borderId="1" xfId="0" applyNumberFormat="1" applyFill="1" applyBorder="1" applyAlignment="1">
      <alignment horizontal="center"/>
    </xf>
    <xf numFmtId="0" fontId="0" fillId="7" borderId="2" xfId="0" applyFill="1" applyBorder="1" applyAlignment="1">
      <alignment wrapText="1"/>
    </xf>
    <xf numFmtId="0" fontId="0" fillId="7" borderId="3" xfId="0" applyFill="1" applyBorder="1" applyAlignment="1">
      <alignment wrapText="1"/>
    </xf>
    <xf numFmtId="49" fontId="0" fillId="7" borderId="3" xfId="0" applyNumberFormat="1" applyFill="1" applyBorder="1" applyAlignment="1">
      <alignment horizontal="center"/>
    </xf>
    <xf numFmtId="0" fontId="0" fillId="7" borderId="4" xfId="0" applyFill="1" applyBorder="1" applyAlignment="1">
      <alignment wrapText="1"/>
    </xf>
    <xf numFmtId="0" fontId="52" fillId="8" borderId="0" xfId="0" applyFont="1" applyFill="1"/>
    <xf numFmtId="0" fontId="52" fillId="8" borderId="0" xfId="1" applyFont="1" applyFill="1" applyBorder="1"/>
    <xf numFmtId="2" fontId="52" fillId="8" borderId="0" xfId="0" applyNumberFormat="1" applyFont="1" applyFill="1"/>
    <xf numFmtId="2" fontId="56" fillId="0" borderId="0" xfId="0" applyNumberFormat="1" applyFont="1" applyAlignment="1">
      <alignment horizontal="right"/>
    </xf>
    <xf numFmtId="0" fontId="61" fillId="7" borderId="0" xfId="0" applyFont="1" applyFill="1" applyAlignment="1">
      <alignment horizontal="right"/>
    </xf>
    <xf numFmtId="0" fontId="60" fillId="0" borderId="0" xfId="0" applyFont="1" applyAlignment="1">
      <alignment vertical="center"/>
    </xf>
    <xf numFmtId="0" fontId="40" fillId="0" borderId="0" xfId="0" applyFont="1" applyAlignment="1">
      <alignment horizontal="center" wrapText="1"/>
    </xf>
    <xf numFmtId="0" fontId="60" fillId="7" borderId="0" xfId="0" applyFont="1" applyFill="1" applyAlignment="1">
      <alignment horizontal="center" vertical="center" wrapText="1"/>
    </xf>
    <xf numFmtId="0" fontId="60" fillId="7" borderId="0" xfId="0" applyFont="1" applyFill="1" applyAlignment="1">
      <alignment horizontal="left" vertical="center" wrapText="1"/>
    </xf>
    <xf numFmtId="0" fontId="60" fillId="7" borderId="0" xfId="0" applyFont="1" applyFill="1" applyAlignment="1">
      <alignment horizontal="right" vertical="center" wrapText="1"/>
    </xf>
    <xf numFmtId="0" fontId="60" fillId="7" borderId="0" xfId="0" applyFont="1" applyFill="1" applyAlignment="1">
      <alignment horizontal="right" vertical="center"/>
    </xf>
    <xf numFmtId="0" fontId="17" fillId="7" borderId="0" xfId="0" applyFont="1" applyFill="1"/>
    <xf numFmtId="2" fontId="63" fillId="0" borderId="0" xfId="0" applyNumberFormat="1" applyFont="1"/>
    <xf numFmtId="2" fontId="63" fillId="7" borderId="0" xfId="0" applyNumberFormat="1" applyFont="1" applyFill="1"/>
    <xf numFmtId="2" fontId="63" fillId="8" borderId="0" xfId="0" applyNumberFormat="1" applyFont="1" applyFill="1"/>
    <xf numFmtId="49" fontId="40" fillId="0" borderId="0" xfId="0" applyNumberFormat="1" applyFont="1" applyAlignment="1">
      <alignment horizontal="center" wrapText="1"/>
    </xf>
    <xf numFmtId="2" fontId="64" fillId="7" borderId="0" xfId="0" applyNumberFormat="1" applyFont="1" applyFill="1"/>
    <xf numFmtId="2" fontId="52" fillId="8" borderId="0" xfId="1" applyNumberFormat="1" applyFont="1" applyFill="1" applyBorder="1"/>
    <xf numFmtId="0" fontId="17" fillId="8" borderId="0" xfId="0" applyFont="1" applyFill="1"/>
    <xf numFmtId="2" fontId="52" fillId="6" borderId="0" xfId="1" applyNumberFormat="1" applyFont="1"/>
    <xf numFmtId="0" fontId="0" fillId="8" borderId="0" xfId="0" applyFill="1"/>
    <xf numFmtId="0" fontId="22" fillId="8" borderId="0" xfId="0" applyFont="1" applyFill="1"/>
    <xf numFmtId="0" fontId="0" fillId="8" borderId="0" xfId="0" applyFill="1" applyAlignment="1">
      <alignment horizontal="center"/>
    </xf>
    <xf numFmtId="0" fontId="9" fillId="0" borderId="1" xfId="0" applyFont="1" applyBorder="1"/>
    <xf numFmtId="0" fontId="32" fillId="0" borderId="1" xfId="0" applyFont="1" applyBorder="1" applyAlignment="1">
      <alignment horizontal="center"/>
    </xf>
    <xf numFmtId="0" fontId="1" fillId="0" borderId="1" xfId="0" applyFont="1" applyBorder="1"/>
    <xf numFmtId="0" fontId="60" fillId="8" borderId="0" xfId="0" applyFont="1" applyFill="1" applyAlignment="1">
      <alignment horizontal="right" vertical="center"/>
    </xf>
    <xf numFmtId="2" fontId="61" fillId="0" borderId="0" xfId="0" applyNumberFormat="1" applyFont="1" applyAlignment="1">
      <alignment horizontal="right" vertical="center"/>
    </xf>
    <xf numFmtId="2" fontId="61" fillId="8" borderId="0" xfId="0" applyNumberFormat="1" applyFont="1" applyFill="1" applyAlignment="1">
      <alignment horizontal="right" vertical="center"/>
    </xf>
    <xf numFmtId="0" fontId="60" fillId="7" borderId="0" xfId="0" applyFont="1" applyFill="1" applyAlignment="1">
      <alignment horizontal="center" vertical="center"/>
    </xf>
    <xf numFmtId="0" fontId="60" fillId="7" borderId="0" xfId="0" applyFont="1" applyFill="1" applyAlignment="1">
      <alignment horizontal="left" vertical="center"/>
    </xf>
    <xf numFmtId="0" fontId="60" fillId="8" borderId="0" xfId="0" applyFont="1" applyFill="1" applyAlignment="1">
      <alignment horizontal="left" vertical="center"/>
    </xf>
    <xf numFmtId="0" fontId="32" fillId="8" borderId="0" xfId="0" applyFont="1" applyFill="1" applyAlignment="1">
      <alignment horizontal="center"/>
    </xf>
    <xf numFmtId="2" fontId="0" fillId="8" borderId="3" xfId="0" applyNumberFormat="1" applyFill="1" applyBorder="1"/>
    <xf numFmtId="0" fontId="31" fillId="8" borderId="0" xfId="0" applyFont="1" applyFill="1"/>
    <xf numFmtId="0" fontId="31" fillId="8" borderId="0" xfId="0" applyFont="1" applyFill="1" applyAlignment="1">
      <alignment horizontal="center"/>
    </xf>
    <xf numFmtId="0" fontId="65" fillId="8" borderId="0" xfId="0" applyFont="1" applyFill="1"/>
    <xf numFmtId="2" fontId="65" fillId="8" borderId="0" xfId="0" applyNumberFormat="1" applyFont="1" applyFill="1"/>
    <xf numFmtId="0" fontId="32" fillId="8" borderId="0" xfId="0" applyFont="1" applyFill="1"/>
    <xf numFmtId="0" fontId="61" fillId="8" borderId="0" xfId="0" applyFont="1" applyFill="1" applyAlignment="1">
      <alignment horizontal="center" vertical="center"/>
    </xf>
    <xf numFmtId="0" fontId="49" fillId="0" borderId="0" xfId="0" applyFont="1" applyAlignment="1">
      <alignment horizontal="center"/>
    </xf>
    <xf numFmtId="2" fontId="56" fillId="0" borderId="0" xfId="0" applyNumberFormat="1" applyFont="1" applyAlignment="1">
      <alignment horizontal="right" vertical="center"/>
    </xf>
    <xf numFmtId="2" fontId="55" fillId="0" borderId="0" xfId="0" applyNumberFormat="1" applyFont="1" applyAlignment="1">
      <alignment vertical="center"/>
    </xf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horizontal="center"/>
    </xf>
    <xf numFmtId="0" fontId="67" fillId="0" borderId="0" xfId="0" applyFont="1" applyAlignment="1">
      <alignment horizontal="center" vertical="center"/>
    </xf>
    <xf numFmtId="14" fontId="67" fillId="0" borderId="8" xfId="0" applyNumberFormat="1" applyFont="1" applyBorder="1" applyAlignment="1">
      <alignment horizontal="center" vertical="center"/>
    </xf>
    <xf numFmtId="14" fontId="67" fillId="0" borderId="0" xfId="0" applyNumberFormat="1" applyFont="1" applyAlignment="1">
      <alignment horizontal="center" vertical="center"/>
    </xf>
    <xf numFmtId="0" fontId="67" fillId="0" borderId="8" xfId="0" applyFont="1" applyBorder="1" applyAlignment="1">
      <alignment horizontal="center"/>
    </xf>
    <xf numFmtId="0" fontId="67" fillId="0" borderId="9" xfId="0" applyFont="1" applyBorder="1" applyAlignment="1">
      <alignment horizontal="center"/>
    </xf>
    <xf numFmtId="0" fontId="66" fillId="0" borderId="0" xfId="0" applyFont="1"/>
    <xf numFmtId="0" fontId="66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7" fillId="0" borderId="1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7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center" vertical="center" wrapText="1"/>
    </xf>
    <xf numFmtId="2" fontId="67" fillId="0" borderId="0" xfId="0" applyNumberFormat="1" applyFont="1" applyAlignment="1">
      <alignment horizontal="center" vertical="center"/>
    </xf>
    <xf numFmtId="0" fontId="67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2" fontId="66" fillId="0" borderId="0" xfId="0" applyNumberFormat="1" applyFont="1" applyAlignment="1">
      <alignment horizontal="center" vertical="center"/>
    </xf>
    <xf numFmtId="2" fontId="67" fillId="0" borderId="0" xfId="0" applyNumberFormat="1" applyFont="1" applyAlignment="1">
      <alignment horizontal="center" vertical="center" wrapText="1"/>
    </xf>
    <xf numFmtId="2" fontId="66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24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6" fillId="0" borderId="8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50" fillId="0" borderId="0" xfId="0" applyFont="1" applyAlignment="1">
      <alignment horizontal="center" vertical="center"/>
    </xf>
    <xf numFmtId="0" fontId="46" fillId="0" borderId="0" xfId="0" applyFont="1" applyAlignment="1">
      <alignment horizontal="center"/>
    </xf>
    <xf numFmtId="0" fontId="45" fillId="0" borderId="0" xfId="0" applyFont="1" applyAlignment="1">
      <alignment horizontal="center" vertical="center"/>
    </xf>
    <xf numFmtId="0" fontId="40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35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horizontal="center"/>
    </xf>
    <xf numFmtId="0" fontId="67" fillId="0" borderId="8" xfId="0" applyFont="1" applyBorder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40% - Énfasis1" xfId="1" builtinId="31"/>
    <cellStyle name="Normal" xfId="0" builtinId="0"/>
  </cellStyles>
  <dxfs count="690">
    <dxf>
      <numFmt numFmtId="2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u val="none"/>
        <sz val="12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u val="none"/>
        <sz val="12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u val="none"/>
        <sz val="12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u val="none"/>
        <sz val="12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u val="none"/>
        <sz val="12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u val="none"/>
        <sz val="12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2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strike val="0"/>
        <u val="none"/>
        <sz val="12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u val="none"/>
        <sz val="12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u val="none"/>
        <sz val="12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u val="none"/>
        <sz val="12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fgColor theme="0" tint="-0.149967955565050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fgColor theme="0" tint="-0.14996795556505021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/>
    </dxf>
    <dxf>
      <font>
        <b val="0"/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rgb="FF000000"/>
        <name val="Arial"/>
        <family val="2"/>
        <scheme val="none"/>
      </font>
      <fill>
        <patternFill patternType="none">
          <bgColor auto="1"/>
        </patternFill>
      </fill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4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fgColor theme="0" tint="-0.14996795556505021"/>
          <bgColor auto="1"/>
        </patternFill>
      </fill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fgColor theme="0" tint="-0.14996795556505021"/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right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rgb="FF000000"/>
        <name val="Arial"/>
        <family val="2"/>
        <scheme val="none"/>
      </font>
      <fill>
        <patternFill patternType="none">
          <bgColor auto="1"/>
        </patternFill>
      </fill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fgColor theme="0" tint="-0.149967955565050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fgColor theme="0" tint="-0.14996795556505021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/>
    </dxf>
    <dxf>
      <font>
        <b val="0"/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rgb="FF000000"/>
        <name val="Arial"/>
        <family val="2"/>
        <scheme val="none"/>
      </font>
      <fill>
        <patternFill patternType="none">
          <bgColor auto="1"/>
        </patternFill>
      </fill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4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rgb="FF000000"/>
        <name val="Arial"/>
        <family val="2"/>
        <scheme val="none"/>
      </font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center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8"/>
        <color rgb="FF000000"/>
        <name val="Arial"/>
        <family val="2"/>
        <scheme val="none"/>
      </font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rgb="FF000000"/>
        <name val="Arial"/>
        <family val="2"/>
        <scheme val="none"/>
      </font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rgb="FFFFFF93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8"/>
        <color rgb="FF000000"/>
        <name val="Arial"/>
        <family val="2"/>
        <scheme val="none"/>
      </font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rgb="FFFFFF93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Arial"/>
        <family val="2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numFmt numFmtId="0" formatCode="General"/>
      <fill>
        <patternFill patternType="solid">
          <bgColor rgb="FFFFFF00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numFmt numFmtId="0" formatCode="General"/>
      <fill>
        <patternFill patternType="solid">
          <bgColor rgb="FFFFFF00"/>
        </patternFill>
      </fill>
      <alignment horizontal="righ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6"/>
        <color rgb="FF000000"/>
        <name val="Arial"/>
        <family val="2"/>
        <scheme val="none"/>
      </font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center"/>
    </dxf>
    <dxf>
      <font>
        <b/>
        <i val="0"/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center" vertical="center"/>
    </dxf>
    <dxf>
      <font>
        <b/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center"/>
    </dxf>
    <dxf>
      <font>
        <b/>
        <i val="0"/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center" vertical="center" wrapText="1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wrapText="1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center" vertical="center" wrapText="1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center" vertical="center" wrapText="1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center" vertical="center" wrapText="1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center" vertical="center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8"/>
        <color rgb="FF000000"/>
        <name val="Arial"/>
        <family val="2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2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48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48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48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8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48"/>
        <color theme="1"/>
        <name val="Arial"/>
        <family val="2"/>
        <scheme val="none"/>
      </font>
      <numFmt numFmtId="2" formatCode="0.00"/>
      <fill>
        <patternFill patternType="none">
          <fgColor theme="0" tint="-0.149967955565050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1"/>
        <name val="Arial"/>
        <family val="2"/>
        <scheme val="none"/>
      </font>
      <fill>
        <patternFill patternType="none">
          <fgColor theme="0" tint="-0.14996795556505021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48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/>
    </dxf>
    <dxf>
      <font>
        <b val="0"/>
        <strike val="0"/>
        <outline val="0"/>
        <shadow val="0"/>
        <u val="none"/>
        <vertAlign val="baseline"/>
        <sz val="48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48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48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48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48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48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48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48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48"/>
        <color rgb="FF000000"/>
        <name val="Arial"/>
        <family val="2"/>
        <scheme val="none"/>
      </font>
      <fill>
        <patternFill patternType="none">
          <bgColor auto="1"/>
        </patternFill>
      </fill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48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fgColor theme="0" tint="-0.14996795556505021"/>
          <bgColor auto="1"/>
        </patternFill>
      </fill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fgColor theme="0" tint="-0.14996795556505021"/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right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rgb="FF000000"/>
        <name val="Arial"/>
        <family val="2"/>
        <scheme val="none"/>
      </font>
      <fill>
        <patternFill patternType="none">
          <bgColor auto="1"/>
        </patternFill>
      </fill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fgColor theme="0" tint="-0.149967955565050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fgColor theme="0" tint="-0.14996795556505021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/>
    </dxf>
    <dxf>
      <font>
        <b val="0"/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rgb="FF000000"/>
        <name val="Arial"/>
        <family val="2"/>
        <scheme val="none"/>
      </font>
      <fill>
        <patternFill patternType="none">
          <bgColor auto="1"/>
        </patternFill>
      </fill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4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alignment horizontal="righ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alignment horizontal="righ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rgb="FF000000"/>
        <name val="Arial"/>
        <family val="2"/>
        <scheme val="none"/>
      </font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center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textRotation="0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8"/>
        <color rgb="FF000000"/>
        <name val="Arial"/>
        <family val="2"/>
        <scheme val="none"/>
      </font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rgb="FF000000"/>
        <name val="Arial"/>
        <family val="2"/>
        <scheme val="none"/>
      </font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rgb="FFFFFF93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8"/>
        <color rgb="FF000000"/>
        <name val="Arial"/>
        <family val="2"/>
        <scheme val="none"/>
      </font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rgb="FFFFFF93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fill>
        <patternFill patternType="solid">
          <bgColor rgb="FFFFFF00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fill>
        <patternFill patternType="solid">
          <bgColor rgb="FFFFFF00"/>
        </patternFill>
      </fill>
      <alignment horizontal="righ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center"/>
    </dxf>
    <dxf>
      <font>
        <b/>
        <i val="0"/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center" vertical="center"/>
    </dxf>
    <dxf>
      <font>
        <b/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center"/>
    </dxf>
    <dxf>
      <font>
        <b/>
        <i val="0"/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center" vertical="center" wrapText="1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wrapText="1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center" vertical="center" wrapText="1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center" vertical="center" wrapText="1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center" vertical="center" wrapText="1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center" vertical="center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8"/>
        <color rgb="FF000000"/>
        <name val="Arial"/>
        <family val="2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2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fgColor theme="0" tint="-0.149967955565050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fgColor theme="0" tint="-0.14996795556505021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/>
    </dxf>
    <dxf>
      <font>
        <b val="0"/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4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fgColor theme="0" tint="-0.14996795556505021"/>
          <bgColor auto="1"/>
        </patternFill>
      </fill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fgColor theme="0" tint="-0.14996795556505021"/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right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solid">
          <bgColor rgb="FFFFFF93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rgb="FFFFFF93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solid">
          <bgColor rgb="FFFFFF93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solid">
          <bgColor rgb="FFFFFF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solid">
          <bgColor rgb="FFFFFF93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solid">
          <fgColor theme="0" tint="-0.14996795556505021"/>
          <bgColor rgb="FFFFFF93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solid">
          <fgColor theme="0" tint="-0.14996795556505021"/>
          <bgColor rgb="FFFFFF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solid">
          <bgColor rgb="FFFFFF93"/>
        </patternFill>
      </fill>
      <alignment horizontal="center"/>
    </dxf>
    <dxf>
      <font>
        <b val="0"/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solid">
          <bgColor rgb="FFFFFF93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solid">
          <bgColor rgb="FFFFFF93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solid">
          <bgColor rgb="FFFFFF93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fill>
        <patternFill patternType="solid">
          <bgColor rgb="FFFFFF93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solid">
          <bgColor rgb="FFFFFF93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solid">
          <bgColor rgb="FFFFFF93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fill>
        <patternFill patternType="solid">
          <bgColor rgb="FFFFFF93"/>
        </patternFill>
      </fill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solid">
          <bgColor rgb="FFFFFF93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fill>
        <patternFill patternType="solid">
          <bgColor rgb="FFFFFF93"/>
        </patternFill>
      </fill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4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2" formatCode="0.00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alignment horizontal="center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numFmt numFmtId="0" formatCode="General"/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30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center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rgb="FFFFFF93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rgb="FFFFFF93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numFmt numFmtId="0" formatCode="General"/>
      <fill>
        <patternFill patternType="solid">
          <bgColor rgb="FFFFFF00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numFmt numFmtId="0" formatCode="General"/>
      <fill>
        <patternFill patternType="solid">
          <bgColor rgb="FFFFFF00"/>
        </patternFill>
      </fill>
      <alignment horizontal="righ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alignment horizontal="right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numFmt numFmtId="0" formatCode="General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numFmt numFmtId="0" formatCode="General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6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center"/>
    </dxf>
    <dxf>
      <font>
        <b/>
        <i val="0"/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center" vertical="center"/>
    </dxf>
    <dxf>
      <font>
        <b/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center"/>
    </dxf>
    <dxf>
      <font>
        <b/>
        <i val="0"/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center" vertical="center" wrapText="1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wrapText="1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center" vertical="center" wrapText="1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center" vertical="center" wrapText="1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2" formatCode="0.00"/>
      <alignment horizontal="center" vertical="center" wrapText="1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center" vertical="center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8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2" formatCode="0.00"/>
      <fill>
        <patternFill patternType="none">
          <fgColor theme="0" tint="-0.149967955565050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6795556505021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/>
    </dxf>
    <dxf>
      <font>
        <b val="0"/>
      </font>
      <numFmt numFmtId="0" formatCode="General"/>
      <fill>
        <patternFill patternType="none">
          <bgColor auto="1"/>
        </patternFill>
      </fill>
      <alignment horizontal="center"/>
    </dxf>
    <dxf>
      <fill>
        <patternFill patternType="none">
          <bgColor auto="1"/>
        </patternFill>
      </fill>
      <alignment horizontal="center"/>
    </dxf>
    <dxf>
      <numFmt numFmtId="0" formatCode="General"/>
      <fill>
        <patternFill patternType="none">
          <bgColor auto="1"/>
        </patternFill>
      </fill>
      <alignment horizontal="center"/>
    </dxf>
    <dxf>
      <numFmt numFmtId="2" formatCode="0.00"/>
      <fill>
        <patternFill patternType="none">
          <bgColor auto="1"/>
        </patternFill>
      </fill>
      <alignment horizontal="center"/>
    </dxf>
    <dxf>
      <fill>
        <patternFill patternType="none">
          <bgColor auto="1"/>
        </patternFill>
      </fill>
      <alignment horizontal="center"/>
    </dxf>
    <dxf>
      <numFmt numFmtId="0" formatCode="General"/>
      <fill>
        <patternFill patternType="none">
          <bgColor auto="1"/>
        </patternFill>
      </fill>
      <alignment horizontal="center"/>
    </dxf>
    <dxf>
      <numFmt numFmtId="0" formatCode="General"/>
      <fill>
        <patternFill patternType="none">
          <bgColor auto="1"/>
        </patternFill>
      </fill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>
          <bgColor rgb="FFFF0000"/>
        </patternFill>
      </fill>
      <alignment horizontal="center" vertical="center" textRotation="0" wrapText="1" indent="0" justifyLastLine="0" shrinkToFit="0" readingOrder="0"/>
    </dxf>
    <dxf>
      <numFmt numFmtId="2" formatCode="0.00"/>
      <fill>
        <patternFill>
          <bgColor rgb="FFFF0000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>
          <bgColor rgb="FFFF000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bgColor rgb="FFFF0000"/>
        </patternFill>
      </fill>
      <alignment horizontal="center" vertical="center" textRotation="0" wrapText="1" indent="0" justifyLastLine="0" shrinkToFit="0" readingOrder="0"/>
    </dxf>
    <dxf>
      <numFmt numFmtId="2" formatCode="0.00"/>
      <fill>
        <patternFill patternType="solid">
          <fgColor theme="0" tint="-0.14996795556505021"/>
          <bgColor rgb="FFFF000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6795556505021"/>
          <bgColor rgb="FFFF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0000"/>
        </patternFill>
      </fill>
      <alignment horizontal="center"/>
    </dxf>
    <dxf>
      <font>
        <b val="0"/>
      </font>
      <numFmt numFmtId="0" formatCode="General"/>
      <fill>
        <patternFill>
          <bgColor rgb="FFFF0000"/>
        </patternFill>
      </fill>
      <alignment horizontal="center"/>
    </dxf>
    <dxf>
      <fill>
        <patternFill>
          <bgColor rgb="FFFF0000"/>
        </patternFill>
      </fill>
      <alignment horizontal="center"/>
    </dxf>
    <dxf>
      <numFmt numFmtId="0" formatCode="General"/>
      <fill>
        <patternFill>
          <bgColor rgb="FFFF0000"/>
        </patternFill>
      </fill>
      <alignment horizontal="center"/>
    </dxf>
    <dxf>
      <numFmt numFmtId="2" formatCode="0.00"/>
      <fill>
        <patternFill>
          <bgColor rgb="FFFF0000"/>
        </patternFill>
      </fill>
      <alignment horizontal="center"/>
    </dxf>
    <dxf>
      <fill>
        <patternFill>
          <bgColor rgb="FFFF0000"/>
        </patternFill>
      </fill>
      <alignment horizontal="center"/>
    </dxf>
    <dxf>
      <numFmt numFmtId="0" formatCode="General"/>
      <fill>
        <patternFill>
          <bgColor rgb="FFFF0000"/>
        </patternFill>
      </fill>
      <alignment horizontal="center"/>
    </dxf>
    <dxf>
      <numFmt numFmtId="0" formatCode="General"/>
      <fill>
        <patternFill>
          <bgColor rgb="FFFF0000"/>
        </patternFill>
      </fill>
      <alignment horizontal="center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font>
        <b val="0"/>
      </font>
      <numFmt numFmtId="0" formatCode="General"/>
      <alignment horizontal="center"/>
    </dxf>
    <dxf>
      <alignment horizontal="center"/>
    </dxf>
    <dxf>
      <numFmt numFmtId="0" formatCode="General"/>
      <alignment horizontal="center"/>
    </dxf>
    <dxf>
      <numFmt numFmtId="2" formatCode="0.00"/>
      <alignment horizontal="center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/>
    </dxf>
    <dxf>
      <numFmt numFmtId="2" formatCode="0.00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font>
        <b val="0"/>
      </font>
      <numFmt numFmtId="0" formatCode="General"/>
      <alignment horizontal="center"/>
    </dxf>
    <dxf>
      <alignment horizontal="center"/>
    </dxf>
    <dxf>
      <numFmt numFmtId="0" formatCode="General"/>
      <alignment horizontal="center"/>
    </dxf>
    <dxf>
      <numFmt numFmtId="2" formatCode="0.00"/>
      <alignment horizontal="center"/>
    </dxf>
    <dxf>
      <alignment horizontal="center"/>
    </dxf>
    <dxf>
      <numFmt numFmtId="0" formatCode="General"/>
      <alignment horizontal="center"/>
    </dxf>
    <dxf>
      <numFmt numFmtId="0" formatCode="General"/>
      <alignment horizontal="left" textRotation="0" indent="0" justifyLastLine="0" shrinkToFit="0" readingOrder="0"/>
    </dxf>
    <dxf>
      <alignment horizontal="center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/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alignment horizontal="center" vertical="center" wrapText="1"/>
    </dxf>
    <dxf>
      <alignment horizontal="center" vertical="center" wrapText="1"/>
    </dxf>
    <dxf>
      <numFmt numFmtId="0" formatCode="General"/>
      <alignment horizontal="center" vertical="center" wrapText="1"/>
    </dxf>
    <dxf>
      <numFmt numFmtId="2" formatCode="0.00"/>
      <alignment horizontal="center" vertical="center" wrapText="1"/>
    </dxf>
    <dxf>
      <numFmt numFmtId="2" formatCode="0.00"/>
      <alignment horizontal="center" vertical="center" wrapText="1"/>
    </dxf>
    <dxf>
      <alignment horizontal="center" vertical="center"/>
    </dxf>
    <dxf>
      <alignment horizontal="left" vertical="center" textRotation="0" wrapText="1" indent="0" justifyLastLine="0" shrinkToFit="0" readingOrder="0"/>
    </dxf>
    <dxf>
      <alignment horizontal="center" vertical="center" wrapText="1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center"/>
    </dxf>
    <dxf>
      <numFmt numFmtId="0" formatCode="General"/>
      <alignment horizontal="center" vertical="center"/>
    </dxf>
    <dxf>
      <alignment horizontal="center"/>
    </dxf>
    <dxf>
      <font>
        <b/>
        <i val="0"/>
        <strike val="0"/>
        <u val="none"/>
        <sz val="11"/>
        <color theme="1"/>
        <name val="Calibri"/>
        <scheme val="none"/>
      </font>
      <numFmt numFmtId="0" formatCode="General"/>
      <alignment horizontal="center" vertical="center" wrapText="1"/>
    </dxf>
    <dxf>
      <alignment horizontal="center" vertical="center" wrapText="1"/>
    </dxf>
    <dxf>
      <numFmt numFmtId="0" formatCode="General"/>
      <alignment horizontal="center" vertical="center" wrapText="1"/>
    </dxf>
    <dxf>
      <numFmt numFmtId="2" formatCode="0.00"/>
      <alignment horizontal="center" vertical="center" wrapText="1"/>
    </dxf>
    <dxf>
      <numFmt numFmtId="2" formatCode="0.00"/>
      <alignment horizontal="center" vertical="center" wrapText="1"/>
    </dxf>
    <dxf>
      <alignment horizontal="center" vertical="center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bgColor rgb="FFFFFF00"/>
        </patternFill>
      </fill>
      <alignment horizontal="center"/>
    </dxf>
    <dxf>
      <numFmt numFmtId="0" formatCode="General"/>
      <fill>
        <patternFill patternType="solid">
          <bgColor rgb="FFFFFF00"/>
        </patternFill>
      </fill>
      <alignment horizontal="center" vertical="center"/>
    </dxf>
    <dxf>
      <alignment horizontal="center"/>
    </dxf>
    <dxf>
      <font>
        <b/>
        <i val="0"/>
        <strike val="0"/>
        <u val="none"/>
        <sz val="11"/>
        <color theme="1"/>
        <name val="Calibri"/>
        <scheme val="none"/>
      </font>
      <numFmt numFmtId="0" formatCode="General"/>
      <alignment horizontal="center" vertical="center" wrapText="1"/>
    </dxf>
    <dxf>
      <alignment horizontal="center" vertical="center" wrapText="1"/>
    </dxf>
    <dxf>
      <numFmt numFmtId="0" formatCode="General"/>
      <alignment horizontal="center" vertical="center" wrapText="1"/>
    </dxf>
    <dxf>
      <numFmt numFmtId="2" formatCode="0.00"/>
      <alignment horizontal="center" vertical="center" wrapText="1"/>
    </dxf>
    <dxf>
      <numFmt numFmtId="2" formatCode="0.00"/>
      <alignment horizontal="center" vertical="center" wrapText="1"/>
    </dxf>
    <dxf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z val="12"/>
        <family val="2"/>
      </font>
      <numFmt numFmtId="2" formatCode="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/>
    </dxf>
    <dxf>
      <font>
        <b/>
        <i val="0"/>
        <strike val="0"/>
        <u val="none"/>
        <sz val="11"/>
        <color theme="1"/>
        <name val="Calibri"/>
        <charset val="134"/>
        <scheme val="none"/>
      </font>
      <numFmt numFmtId="0" formatCode="General"/>
      <alignment horizontal="center" vertical="center"/>
    </dxf>
    <dxf>
      <font>
        <b/>
      </font>
      <numFmt numFmtId="0" formatCode="General"/>
      <alignment horizontal="center"/>
    </dxf>
    <dxf>
      <font>
        <b/>
        <i val="0"/>
        <strike val="0"/>
        <u val="none"/>
        <sz val="11"/>
        <color theme="1"/>
        <name val="Calibri"/>
        <scheme val="none"/>
      </font>
      <numFmt numFmtId="0" formatCode="General"/>
      <alignment horizontal="center" vertical="center" wrapText="1"/>
    </dxf>
    <dxf>
      <alignment horizontal="center" vertical="center" wrapText="1"/>
    </dxf>
    <dxf>
      <numFmt numFmtId="0" formatCode="General"/>
      <alignment horizontal="center" vertical="center" wrapText="1"/>
    </dxf>
    <dxf>
      <numFmt numFmtId="2" formatCode="0.00"/>
      <alignment horizontal="center" vertical="center" wrapText="1"/>
    </dxf>
    <dxf>
      <numFmt numFmtId="2" formatCode="0.00"/>
      <alignment horizontal="center" vertical="center" wrapText="1"/>
    </dxf>
    <dxf>
      <numFmt numFmtId="0" formatCode="General"/>
      <alignment horizontal="center" vertical="center"/>
    </dxf>
    <dxf>
      <numFmt numFmtId="0" formatCode="General"/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colors>
    <mruColors>
      <color rgb="FFFFFF93"/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28</xdr:row>
      <xdr:rowOff>76200</xdr:rowOff>
    </xdr:from>
    <xdr:to>
      <xdr:col>2</xdr:col>
      <xdr:colOff>1112520</xdr:colOff>
      <xdr:row>31</xdr:row>
      <xdr:rowOff>142874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3D56F4-3272-F099-FDB0-362C07100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561975" y="4200525"/>
          <a:ext cx="3055620" cy="63817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197303</xdr:colOff>
      <xdr:row>64</xdr:row>
      <xdr:rowOff>172357</xdr:rowOff>
    </xdr:from>
    <xdr:to>
      <xdr:col>2</xdr:col>
      <xdr:colOff>1138373</xdr:colOff>
      <xdr:row>67</xdr:row>
      <xdr:rowOff>184604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CCC79F0E-EBED-4B9A-A1C6-CC8DAC1B7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614588" y="12400642"/>
          <a:ext cx="3181713" cy="610962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635000</xdr:colOff>
      <xdr:row>95</xdr:row>
      <xdr:rowOff>63500</xdr:rowOff>
    </xdr:from>
    <xdr:to>
      <xdr:col>2</xdr:col>
      <xdr:colOff>1576070</xdr:colOff>
      <xdr:row>97</xdr:row>
      <xdr:rowOff>288925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E38489BC-F69D-47E1-B187-AB3AB1BD1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1031875" y="21780500"/>
          <a:ext cx="3052445" cy="63817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650875</xdr:colOff>
      <xdr:row>116</xdr:row>
      <xdr:rowOff>158750</xdr:rowOff>
    </xdr:from>
    <xdr:to>
      <xdr:col>2</xdr:col>
      <xdr:colOff>1591945</xdr:colOff>
      <xdr:row>120</xdr:row>
      <xdr:rowOff>34928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BE8A263A-BECB-497F-A66A-85D41456E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1047750" y="24447500"/>
          <a:ext cx="3052445" cy="63817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644072</xdr:colOff>
      <xdr:row>150</xdr:row>
      <xdr:rowOff>176893</xdr:rowOff>
    </xdr:from>
    <xdr:to>
      <xdr:col>2</xdr:col>
      <xdr:colOff>1585142</xdr:colOff>
      <xdr:row>153</xdr:row>
      <xdr:rowOff>195943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F3A5958-E2D8-414A-8519-136C53A07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1061357" y="30965321"/>
          <a:ext cx="3181713" cy="617763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523875</xdr:colOff>
      <xdr:row>203</xdr:row>
      <xdr:rowOff>158750</xdr:rowOff>
    </xdr:from>
    <xdr:to>
      <xdr:col>2</xdr:col>
      <xdr:colOff>1464945</xdr:colOff>
      <xdr:row>207</xdr:row>
      <xdr:rowOff>34926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65BD70B6-5115-4938-8930-2CF997A77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941160" y="39224857"/>
          <a:ext cx="3181713" cy="60189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392566</xdr:colOff>
      <xdr:row>16</xdr:row>
      <xdr:rowOff>77109</xdr:rowOff>
    </xdr:from>
    <xdr:to>
      <xdr:col>2</xdr:col>
      <xdr:colOff>1576249</xdr:colOff>
      <xdr:row>21</xdr:row>
      <xdr:rowOff>136073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D40C97-1C76-49C2-BC33-CEE6FBE18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902835" y="8105325"/>
          <a:ext cx="6966721" cy="189592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246563</xdr:colOff>
      <xdr:row>56</xdr:row>
      <xdr:rowOff>332766</xdr:rowOff>
    </xdr:from>
    <xdr:to>
      <xdr:col>2</xdr:col>
      <xdr:colOff>2543817</xdr:colOff>
      <xdr:row>62</xdr:row>
      <xdr:rowOff>170086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39FBF3F-485C-4D4C-B2B2-ACD88975C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1011966" y="34180535"/>
          <a:ext cx="8080292" cy="2048482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951365</xdr:colOff>
      <xdr:row>94</xdr:row>
      <xdr:rowOff>40820</xdr:rowOff>
    </xdr:from>
    <xdr:to>
      <xdr:col>2</xdr:col>
      <xdr:colOff>2413898</xdr:colOff>
      <xdr:row>98</xdr:row>
      <xdr:rowOff>357185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AEFD9632-0AC0-4451-97B3-F6C05221A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1716768" y="51016579"/>
          <a:ext cx="7245571" cy="1796143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915080</xdr:colOff>
      <xdr:row>115</xdr:row>
      <xdr:rowOff>332240</xdr:rowOff>
    </xdr:from>
    <xdr:to>
      <xdr:col>2</xdr:col>
      <xdr:colOff>3112631</xdr:colOff>
      <xdr:row>122</xdr:row>
      <xdr:rowOff>51026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9F8C6EDC-E85F-4597-9E8C-53A791632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1680483" y="70477062"/>
          <a:ext cx="7980589" cy="210003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701901</xdr:colOff>
      <xdr:row>149</xdr:row>
      <xdr:rowOff>136070</xdr:rowOff>
    </xdr:from>
    <xdr:to>
      <xdr:col>2</xdr:col>
      <xdr:colOff>2259197</xdr:colOff>
      <xdr:row>155</xdr:row>
      <xdr:rowOff>289147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35EC2F50-78CA-4AC0-8250-233D6B124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1467304" y="90079286"/>
          <a:ext cx="7340334" cy="2194152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489858</xdr:colOff>
      <xdr:row>208</xdr:row>
      <xdr:rowOff>102055</xdr:rowOff>
    </xdr:from>
    <xdr:to>
      <xdr:col>2</xdr:col>
      <xdr:colOff>2649278</xdr:colOff>
      <xdr:row>214</xdr:row>
      <xdr:rowOff>1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1230A72A-0008-402C-ACA4-E54446392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1510392" y="125423839"/>
          <a:ext cx="7942458" cy="1939018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153081</xdr:colOff>
      <xdr:row>225</xdr:row>
      <xdr:rowOff>238127</xdr:rowOff>
    </xdr:from>
    <xdr:to>
      <xdr:col>2</xdr:col>
      <xdr:colOff>1241524</xdr:colOff>
      <xdr:row>231</xdr:row>
      <xdr:rowOff>51028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9663E20D-3DCF-4B7F-A810-9C73A0E31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1173615" y="131768171"/>
          <a:ext cx="6871481" cy="1853972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392566</xdr:colOff>
      <xdr:row>16</xdr:row>
      <xdr:rowOff>77109</xdr:rowOff>
    </xdr:from>
    <xdr:to>
      <xdr:col>2</xdr:col>
      <xdr:colOff>1581691</xdr:colOff>
      <xdr:row>21</xdr:row>
      <xdr:rowOff>130631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ED0401-5ECE-4B71-9F7B-B42400DA9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1415823" y="8546195"/>
          <a:ext cx="6969440" cy="1865992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246563</xdr:colOff>
      <xdr:row>54</xdr:row>
      <xdr:rowOff>332766</xdr:rowOff>
    </xdr:from>
    <xdr:to>
      <xdr:col>2</xdr:col>
      <xdr:colOff>2543820</xdr:colOff>
      <xdr:row>60</xdr:row>
      <xdr:rowOff>170086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ADDC1175-6642-4C91-8D9E-AFCCE77E7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1269820" y="36505995"/>
          <a:ext cx="8083011" cy="2014462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951365</xdr:colOff>
      <xdr:row>90</xdr:row>
      <xdr:rowOff>40820</xdr:rowOff>
    </xdr:from>
    <xdr:to>
      <xdr:col>2</xdr:col>
      <xdr:colOff>2408452</xdr:colOff>
      <xdr:row>94</xdr:row>
      <xdr:rowOff>362627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885D2847-55BF-4514-A711-7DAA97278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1974622" y="59177463"/>
          <a:ext cx="7248290" cy="178593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915080</xdr:colOff>
      <xdr:row>110</xdr:row>
      <xdr:rowOff>332240</xdr:rowOff>
    </xdr:from>
    <xdr:to>
      <xdr:col>2</xdr:col>
      <xdr:colOff>3112634</xdr:colOff>
      <xdr:row>117</xdr:row>
      <xdr:rowOff>45580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69645E9F-9E5D-4745-AFD7-ACB6AEB19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1938337" y="70724711"/>
          <a:ext cx="7983308" cy="204288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701901</xdr:colOff>
      <xdr:row>144</xdr:row>
      <xdr:rowOff>136070</xdr:rowOff>
    </xdr:from>
    <xdr:to>
      <xdr:col>2</xdr:col>
      <xdr:colOff>2259194</xdr:colOff>
      <xdr:row>150</xdr:row>
      <xdr:rowOff>283705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9086DEC1-770F-4A88-86F9-814D1170D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1725158" y="90482056"/>
          <a:ext cx="7343053" cy="2145162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489858</xdr:colOff>
      <xdr:row>202</xdr:row>
      <xdr:rowOff>102055</xdr:rowOff>
    </xdr:from>
    <xdr:to>
      <xdr:col>2</xdr:col>
      <xdr:colOff>2649278</xdr:colOff>
      <xdr:row>208</xdr:row>
      <xdr:rowOff>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304D1678-A24D-40D8-8044-E241729A3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1513115" y="125739526"/>
          <a:ext cx="7945177" cy="1890032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392566</xdr:colOff>
      <xdr:row>16</xdr:row>
      <xdr:rowOff>77109</xdr:rowOff>
    </xdr:from>
    <xdr:to>
      <xdr:col>2</xdr:col>
      <xdr:colOff>1581691</xdr:colOff>
      <xdr:row>21</xdr:row>
      <xdr:rowOff>130631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096AE9-ED46-4312-8C42-8B25992B6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1415823" y="8546195"/>
          <a:ext cx="6974882" cy="186055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246563</xdr:colOff>
      <xdr:row>56</xdr:row>
      <xdr:rowOff>332766</xdr:rowOff>
    </xdr:from>
    <xdr:to>
      <xdr:col>2</xdr:col>
      <xdr:colOff>2543820</xdr:colOff>
      <xdr:row>62</xdr:row>
      <xdr:rowOff>170089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5AEB2B0-735B-4C12-A931-7A9AC8D8B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1269820" y="37017623"/>
          <a:ext cx="8083014" cy="201446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951365</xdr:colOff>
      <xdr:row>93</xdr:row>
      <xdr:rowOff>40820</xdr:rowOff>
    </xdr:from>
    <xdr:to>
      <xdr:col>2</xdr:col>
      <xdr:colOff>2408452</xdr:colOff>
      <xdr:row>97</xdr:row>
      <xdr:rowOff>362624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255A9D54-4430-4E55-B378-C97BA9D47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1974622" y="59362520"/>
          <a:ext cx="7242844" cy="179137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915080</xdr:colOff>
      <xdr:row>113</xdr:row>
      <xdr:rowOff>332240</xdr:rowOff>
    </xdr:from>
    <xdr:to>
      <xdr:col>2</xdr:col>
      <xdr:colOff>3112634</xdr:colOff>
      <xdr:row>120</xdr:row>
      <xdr:rowOff>45580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D0A3E0BC-35D7-4D11-91FB-4E41D8044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1938337" y="70202197"/>
          <a:ext cx="7983311" cy="2037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701901</xdr:colOff>
      <xdr:row>147</xdr:row>
      <xdr:rowOff>136070</xdr:rowOff>
    </xdr:from>
    <xdr:to>
      <xdr:col>2</xdr:col>
      <xdr:colOff>2259194</xdr:colOff>
      <xdr:row>153</xdr:row>
      <xdr:rowOff>283705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D1B6D26E-9139-49C1-B8FD-BE31050F2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1725158" y="89959541"/>
          <a:ext cx="7343050" cy="2139721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489858</xdr:colOff>
      <xdr:row>204</xdr:row>
      <xdr:rowOff>102055</xdr:rowOff>
    </xdr:from>
    <xdr:to>
      <xdr:col>2</xdr:col>
      <xdr:colOff>2649278</xdr:colOff>
      <xdr:row>210</xdr:row>
      <xdr:rowOff>3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6011E009-59DA-40EE-A9DB-AB3757ECD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1513115" y="124487669"/>
          <a:ext cx="7945177" cy="1890034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153081</xdr:colOff>
      <xdr:row>221</xdr:row>
      <xdr:rowOff>238127</xdr:rowOff>
    </xdr:from>
    <xdr:to>
      <xdr:col>2</xdr:col>
      <xdr:colOff>1236082</xdr:colOff>
      <xdr:row>227</xdr:row>
      <xdr:rowOff>45582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59122150-56AA-4283-8EC9-DE599504C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7" t="28104" r="11597" b="34655"/>
        <a:stretch>
          <a:fillRect/>
        </a:stretch>
      </xdr:blipFill>
      <xdr:spPr>
        <a:xfrm>
          <a:off x="1176338" y="133637113"/>
          <a:ext cx="6868758" cy="179954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a5" displayName="Tabla5" ref="A10:O26" totalsRowShown="0" headerRowDxfId="689" headerRowBorderDxfId="688">
  <autoFilter ref="A10:O26" xr:uid="{00000000-0009-0000-0100-000005000000}"/>
  <tableColumns count="15">
    <tableColumn id="2" xr3:uid="{00000000-0010-0000-0000-000002000000}" name="No. Exp" dataDxfId="687"/>
    <tableColumn id="3" xr3:uid="{00000000-0010-0000-0000-000003000000}" name="Nombre y Apellido" dataDxfId="686">
      <calculatedColumnFormula>VLOOKUP(Tabla5[[#This Row],[No. Exp]],Tabla6[],2)</calculatedColumnFormula>
    </tableColumn>
    <tableColumn id="14" xr3:uid="{00000000-0010-0000-0000-00000E000000}" name="C.I" dataDxfId="685">
      <calculatedColumnFormula>VLOOKUP(Tabla5[[#This Row],[No. Exp]],Tabla6[],3)</calculatedColumnFormula>
    </tableColumn>
    <tableColumn id="4" xr3:uid="{00000000-0010-0000-0000-000004000000}" name="Horas Trabajadas" dataDxfId="684">
      <calculatedColumnFormula>#REF!</calculatedColumnFormula>
    </tableColumn>
    <tableColumn id="5" xr3:uid="{00000000-0010-0000-0000-000005000000}" name="Tarifas por Horas" dataDxfId="683">
      <calculatedColumnFormula>VLOOKUP(Tabla5[[#This Row],[No. Exp]],Tabla6[],5)</calculatedColumnFormula>
    </tableColumn>
    <tableColumn id="6" xr3:uid="{00000000-0010-0000-0000-000006000000}" name="Salario Básico" dataDxfId="682">
      <calculatedColumnFormula>ROUND(Tabla5[[#This Row],[Horas Trabajadas]]*Tabla5[[#This Row],[Tarifas por Horas]],0)</calculatedColumnFormula>
    </tableColumn>
    <tableColumn id="7" xr3:uid="{00000000-0010-0000-0000-000007000000}" name="Bonif" dataDxfId="681"/>
    <tableColumn id="9" xr3:uid="{00000000-0010-0000-0000-000009000000}" name="Sal. Dev" dataDxfId="680">
      <calculatedColumnFormula>Tabla5[[#This Row],[Salario Básico]]+Tabla5[[#This Row],[Bonif]]</calculatedColumnFormula>
    </tableColumn>
    <tableColumn id="16" xr3:uid="{00000000-0010-0000-0000-000010000000}" name="Ausencias" dataDxfId="679">
      <calculatedColumnFormula>E7</calculatedColumnFormula>
    </tableColumn>
    <tableColumn id="8" xr3:uid="{00000000-0010-0000-0000-000008000000}" name="Vacaciones" dataDxfId="678">
      <calculatedColumnFormula>'Submayor Vacaciones'!#REF!</calculatedColumnFormula>
    </tableColumn>
    <tableColumn id="12" xr3:uid="{00000000-0010-0000-0000-00000C000000}" name="pago x vacaciones" dataDxfId="677">
      <calculatedColumnFormula array="1">MMULT(Tabla5[[#This Row],[Tarifas por Horas]],8)*Tabla5[[#This Row],[Vacaciones]]</calculatedColumnFormula>
    </tableColumn>
    <tableColumn id="15" xr3:uid="{3B704D4C-69F4-4E8C-AD77-67F79027B6EF}" name="Salario Neto" dataDxfId="676">
      <calculatedColumnFormula>Tabla5[[#This Row],[Sal. Dev]]-Tabla5[[#This Row],[Ausencias]]+Tabla5[[#This Row],[pago x vacaciones]]</calculatedColumnFormula>
    </tableColumn>
    <tableColumn id="13" xr3:uid="{EBF41B73-DE69-44D3-8D10-3AE57EE5ECFA}" name="importe Seg Social" dataDxfId="675">
      <calculatedColumnFormula>5%*Tabla5[[#This Row],[Salario Neto]]</calculatedColumnFormula>
    </tableColumn>
    <tableColumn id="11" xr3:uid="{2F087AAF-F8F8-4630-8855-F6C662F17C18}" name="importe Ing Pers" dataDxfId="674">
      <calculatedColumnFormula array="1">MMULT(3.125%,Tabla5[[#This Row],[Salario Neto]])</calculatedColumnFormula>
    </tableColumn>
    <tableColumn id="17" xr3:uid="{91D05E2E-978F-405F-A49B-E5F883C1AD9A}" name="Salario a pagar" dataDxfId="673">
      <calculatedColumnFormula>Tabla5[[#This Row],[Sal. Dev]]-Tabla5[[#This Row],[Ausencias]]+Tabla5[[#This Row],[pago x vacaciones]]-Tabla5[[#This Row],[importe Seg Social]]-Tabla5[[#This Row],[importe Ing Pers]]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1000000}" name="Tabla512" displayName="Tabla512" ref="A42:O64" totalsRowShown="0" headerRowDxfId="672" headerRowBorderDxfId="671">
  <autoFilter ref="A42:O64" xr:uid="{00000000-0009-0000-0100-00000B000000}"/>
  <tableColumns count="15">
    <tableColumn id="2" xr3:uid="{00000000-0010-0000-0100-000002000000}" name="No. Exp" dataDxfId="670"/>
    <tableColumn id="3" xr3:uid="{00000000-0010-0000-0100-000003000000}" name="Nombre y Apellido" dataDxfId="669">
      <calculatedColumnFormula>VLOOKUP(Tabla512[[#This Row],[No. Exp]],Tabla6[],2)</calculatedColumnFormula>
    </tableColumn>
    <tableColumn id="14" xr3:uid="{00000000-0010-0000-0100-00000E000000}" name="C.I" dataDxfId="668">
      <calculatedColumnFormula>VLOOKUP(Tabla512[[#This Row],[No. Exp]],Tabla6[],3)</calculatedColumnFormula>
    </tableColumn>
    <tableColumn id="4" xr3:uid="{00000000-0010-0000-0100-000004000000}" name="Horas Trabajadas" dataDxfId="667">
      <calculatedColumnFormula>#REF!</calculatedColumnFormula>
    </tableColumn>
    <tableColumn id="5" xr3:uid="{00000000-0010-0000-0100-000005000000}" name="Tarifas x horas " dataDxfId="666">
      <calculatedColumnFormula>VLOOKUP(Tabla512[[#This Row],[No. Exp]],Tabla6[],5)</calculatedColumnFormula>
    </tableColumn>
    <tableColumn id="6" xr3:uid="{00000000-0010-0000-0100-000006000000}" name="Salario Básico" dataDxfId="665">
      <calculatedColumnFormula>ROUND(Tabla512[[#This Row],[Horas Trabajadas]]*Tabla512[[#This Row],[Tarifas x horas ]],0)</calculatedColumnFormula>
    </tableColumn>
    <tableColumn id="7" xr3:uid="{00000000-0010-0000-0100-000007000000}" name="Bonif" dataDxfId="664"/>
    <tableColumn id="9" xr3:uid="{00000000-0010-0000-0100-000009000000}" name="Sal. Dev" dataDxfId="663">
      <calculatedColumnFormula>Tabla512[[#This Row],[Salario Básico]]+Tabla512[[#This Row],[Bonif]]</calculatedColumnFormula>
    </tableColumn>
    <tableColumn id="16" xr3:uid="{00000000-0010-0000-0100-000010000000}" name="Ausencias" dataDxfId="662"/>
    <tableColumn id="8" xr3:uid="{00000000-0010-0000-0100-000008000000}" name="Vacaciones" dataDxfId="661">
      <calculatedColumnFormula>'Submayor Vacaciones'!#REF!</calculatedColumnFormula>
    </tableColumn>
    <tableColumn id="12" xr3:uid="{00000000-0010-0000-0100-00000C000000}" name="pago x Vacaciones" dataDxfId="660">
      <calculatedColumnFormula array="1">MMULT(Tabla512[[#This Row],[Tarifas x horas ]],8)*Tabla512[[#This Row],[Vacaciones]]</calculatedColumnFormula>
    </tableColumn>
    <tableColumn id="10" xr3:uid="{4253B452-D1F6-480F-BF92-9B37B46B0BA6}" name="Salario Neto" dataDxfId="659">
      <calculatedColumnFormula>Tabla512[[#This Row],[Sal. Dev]]-Tabla512[[#This Row],[Ausencias]]+Tabla512[[#This Row],[pago x Vacaciones]]</calculatedColumnFormula>
    </tableColumn>
    <tableColumn id="11" xr3:uid="{E071CE22-370A-4F83-B3DF-182AB55B8BDC}" name="importe Seg Social" dataDxfId="658">
      <calculatedColumnFormula>5%*Tabla512[[#This Row],[Salario Neto]]</calculatedColumnFormula>
    </tableColumn>
    <tableColumn id="13" xr3:uid="{53715F07-6C96-4E32-AE37-3ACE771829F9}" name="importe Ing Pers" dataDxfId="657"/>
    <tableColumn id="15" xr3:uid="{903A6D38-1FD0-4419-B228-673430ED81F9}" name="Salario a pagar" dataDxfId="656">
      <calculatedColumnFormula>Tabla512[[#This Row],[Sal. Dev]]-Tabla512[[#This Row],[Ausencias]]+Tabla512[[#This Row],[pago x Vacaciones]]-Tabla512[[#This Row],[importe Seg Social]]-Tabla512[[#This Row],[importe Ing Pers]]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Tabla51213" displayName="Tabla51213" ref="A76:O93" totalsRowShown="0" headerRowDxfId="655" headerRowBorderDxfId="654">
  <autoFilter ref="A76:O93" xr:uid="{00000000-0009-0000-0100-00000C000000}"/>
  <tableColumns count="15">
    <tableColumn id="2" xr3:uid="{00000000-0010-0000-0200-000002000000}" name="No. Exp" dataDxfId="653"/>
    <tableColumn id="3" xr3:uid="{00000000-0010-0000-0200-000003000000}" name="Nombre y Apellido" dataDxfId="652">
      <calculatedColumnFormula>VLOOKUP(Tabla51213[[#This Row],[No. Exp]],Tabla6[],2)</calculatedColumnFormula>
    </tableColumn>
    <tableColumn id="14" xr3:uid="{00000000-0010-0000-0200-00000E000000}" name="C.I" dataDxfId="651">
      <calculatedColumnFormula>VLOOKUP(Tabla51213[[#This Row],[No. Exp]],Tabla6[],3)</calculatedColumnFormula>
    </tableColumn>
    <tableColumn id="4" xr3:uid="{00000000-0010-0000-0200-000004000000}" name="Horas Trabajadas" dataDxfId="650">
      <calculatedColumnFormula>#REF!</calculatedColumnFormula>
    </tableColumn>
    <tableColumn id="5" xr3:uid="{00000000-0010-0000-0200-000005000000}" name="Tarifas por horas" dataDxfId="649">
      <calculatedColumnFormula>VLOOKUP(Tabla51213[[#This Row],[No. Exp]],Tabla6[],5)</calculatedColumnFormula>
    </tableColumn>
    <tableColumn id="6" xr3:uid="{00000000-0010-0000-0200-000006000000}" name="Salario Básico" dataDxfId="648">
      <calculatedColumnFormula>ROUND(Tabla51213[[#This Row],[Horas Trabajadas]]*Tabla51213[[#This Row],[Tarifas por horas]],0)</calculatedColumnFormula>
    </tableColumn>
    <tableColumn id="7" xr3:uid="{00000000-0010-0000-0200-000007000000}" name="Bonif" dataDxfId="647"/>
    <tableColumn id="9" xr3:uid="{00000000-0010-0000-0200-000009000000}" name="Sal. Dev" dataDxfId="646">
      <calculatedColumnFormula>Tabla51213[[#This Row],[Salario Básico]]+Tabla51213[[#This Row],[Bonif]]</calculatedColumnFormula>
    </tableColumn>
    <tableColumn id="16" xr3:uid="{00000000-0010-0000-0200-000010000000}" name="Ausencias" dataDxfId="645"/>
    <tableColumn id="8" xr3:uid="{00000000-0010-0000-0200-000008000000}" name="Vacaciones" dataDxfId="644">
      <calculatedColumnFormula>'Submayor Vacaciones'!#REF!</calculatedColumnFormula>
    </tableColumn>
    <tableColumn id="12" xr3:uid="{00000000-0010-0000-0200-00000C000000}" name="pago x vacaciones" dataDxfId="643">
      <calculatedColumnFormula array="1">MMULT(Tabla51213[[#This Row],[Tarifas por horas]],8)*Tabla51213[[#This Row],[Vacaciones]]</calculatedColumnFormula>
    </tableColumn>
    <tableColumn id="10" xr3:uid="{5BDC25E4-669E-4371-9289-13D81F6B4109}" name="Salario Neto" dataDxfId="642">
      <calculatedColumnFormula>Tabla51213[[#This Row],[Sal. Dev]]-Tabla51213[[#This Row],[Ausencias]]+Tabla51213[[#This Row],[pago x vacaciones]]</calculatedColumnFormula>
    </tableColumn>
    <tableColumn id="11" xr3:uid="{B2F9BFD0-E9F2-48B3-8FA4-132AA941DE7B}" name="importe Seg Social" dataDxfId="641">
      <calculatedColumnFormula>5%*Tabla51213[[#This Row],[Salario Neto]]</calculatedColumnFormula>
    </tableColumn>
    <tableColumn id="13" xr3:uid="{420C27D2-1F28-4391-8BEB-B94E70D57D78}" name="importe Ing Pers" dataDxfId="640"/>
    <tableColumn id="15" xr3:uid="{1E46E818-D11A-4B24-9E9B-44EC512EAE95}" name="Salario a pagar" dataDxfId="639">
      <calculatedColumnFormula>Tabla51213[[#This Row],[Sal. Dev]]-Tabla51213[[#This Row],[Ausencias]]+Tabla51213[[#This Row],[pago x vacaciones]]-Tabla51213[[#This Row],[importe Seg Social]]-Tabla51213[[#This Row],[importe Ing Pers]]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3000000}" name="Tabla5121314" displayName="Tabla5121314" ref="A107:O116" totalsRowShown="0" headerRowDxfId="638" headerRowBorderDxfId="637">
  <autoFilter ref="A107:O116" xr:uid="{00000000-0009-0000-0100-00000D000000}"/>
  <tableColumns count="15">
    <tableColumn id="2" xr3:uid="{00000000-0010-0000-0300-000002000000}" name="No. Exp" dataDxfId="636"/>
    <tableColumn id="3" xr3:uid="{00000000-0010-0000-0300-000003000000}" name="Nombre y Apellido" dataDxfId="635">
      <calculatedColumnFormula>VLOOKUP(Tabla5121314[[#This Row],[No. Exp]],Tabla6[],2)</calculatedColumnFormula>
    </tableColumn>
    <tableColumn id="14" xr3:uid="{00000000-0010-0000-0300-00000E000000}" name="C.I" dataDxfId="634">
      <calculatedColumnFormula>VLOOKUP(Tabla5121314[[#This Row],[No. Exp]],Tabla6[],3)</calculatedColumnFormula>
    </tableColumn>
    <tableColumn id="4" xr3:uid="{00000000-0010-0000-0300-000004000000}" name="Horas Trabajadas" dataDxfId="633">
      <calculatedColumnFormula>#REF!</calculatedColumnFormula>
    </tableColumn>
    <tableColumn id="5" xr3:uid="{00000000-0010-0000-0300-000005000000}" name="Tarifas x horas" dataDxfId="632">
      <calculatedColumnFormula>VLOOKUP(Tabla5121314[[#This Row],[No. Exp]],Tabla6[],5)</calculatedColumnFormula>
    </tableColumn>
    <tableColumn id="6" xr3:uid="{00000000-0010-0000-0300-000006000000}" name="A Cobrar" dataDxfId="631">
      <calculatedColumnFormula>ROUND(Tabla5121314[[#This Row],[Horas Trabajadas]]*Tabla5121314[[#This Row],[Tarifas x horas]],0)</calculatedColumnFormula>
    </tableColumn>
    <tableColumn id="7" xr3:uid="{00000000-0010-0000-0300-000007000000}" name="Bonif" dataDxfId="630"/>
    <tableColumn id="9" xr3:uid="{00000000-0010-0000-0300-000009000000}" name="Sal. Dev" dataDxfId="629">
      <calculatedColumnFormula>Tabla5121314[[#This Row],[A Cobrar]]+Tabla5121314[[#This Row],[Bonif]]</calculatedColumnFormula>
    </tableColumn>
    <tableColumn id="16" xr3:uid="{00000000-0010-0000-0300-000010000000}" name="Ausencias" dataDxfId="628"/>
    <tableColumn id="8" xr3:uid="{49C23F07-D683-4D53-BDAE-E5F7BEFDAEB1}" name="Vacaciones"/>
    <tableColumn id="12" xr3:uid="{69AC9277-9638-4670-B085-10E3BDCD4F3F}" name="pago x vacaciones">
      <calculatedColumnFormula array="1">MMULT(Tabla5121314[[#This Row],[Tarifas x horas]],8)*Tabla5121314[[#This Row],[Vacaciones]]</calculatedColumnFormula>
    </tableColumn>
    <tableColumn id="10" xr3:uid="{F054E7A9-68C5-4543-B035-83B505560950}" name="Salario Neto" dataDxfId="627">
      <calculatedColumnFormula>Tabla5121314[[#This Row],[Sal. Dev]]-Tabla5121314[[#This Row],[Ausencias]]+Tabla5121314[[#This Row],[pago x vacaciones]]</calculatedColumnFormula>
    </tableColumn>
    <tableColumn id="11" xr3:uid="{99CAD6B3-7731-46A4-BBC3-419530310E19}" name="importe Seg Social" dataDxfId="626">
      <calculatedColumnFormula>5%*Tabla5121314[[#This Row],[Salario Neto]]</calculatedColumnFormula>
    </tableColumn>
    <tableColumn id="13" xr3:uid="{FCE32E38-C85B-45FF-925B-161666E6846A}" name="importe Ing Pers" dataDxfId="625"/>
    <tableColumn id="15" xr3:uid="{D4B57514-7782-482D-B405-E6BB77D2B6D2}" name="Salario a pagar" dataDxfId="624">
      <calculatedColumnFormula>Tabla5121314[[#This Row],[Sal. Dev]]-Tabla5121314[[#This Row],[Ausencias]]+Tabla5121314[[#This Row],[pago x vacaciones]]-Tabla5121314[[#This Row],[importe Seg Social]]-Tabla5121314[[#This Row],[importe Ing Pers]]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abla5121314_3" displayName="Tabla5121314_3" ref="A131:O150" totalsRowShown="0" headerRowDxfId="623" headerRowBorderDxfId="622">
  <autoFilter ref="A131:O150" xr:uid="{00000000-0009-0000-0100-000002000000}"/>
  <tableColumns count="15">
    <tableColumn id="2" xr3:uid="{00000000-0010-0000-0400-000002000000}" name="No. Exp" dataDxfId="621"/>
    <tableColumn id="3" xr3:uid="{00000000-0010-0000-0400-000003000000}" name="Nombre y Apellido" dataDxfId="620">
      <calculatedColumnFormula>VLOOKUP(Tabla5121314_3[[#This Row],[No. Exp]],Tabla6[],2)</calculatedColumnFormula>
    </tableColumn>
    <tableColumn id="4" xr3:uid="{00000000-0010-0000-0400-000004000000}" name="C.I" dataDxfId="619">
      <calculatedColumnFormula>VLOOKUP(Tabla5121314_3[[#This Row],[No. Exp]],Tabla6[],3)</calculatedColumnFormula>
    </tableColumn>
    <tableColumn id="5" xr3:uid="{00000000-0010-0000-0400-000005000000}" name="Horas trabajadas" dataDxfId="618">
      <calculatedColumnFormula>#REF!</calculatedColumnFormula>
    </tableColumn>
    <tableColumn id="6" xr3:uid="{00000000-0010-0000-0400-000006000000}" name="Tarifas x horas" dataDxfId="617">
      <calculatedColumnFormula>VLOOKUP(Tabla5121314_3[[#This Row],[No. Exp]],Tabla6[],5)</calculatedColumnFormula>
    </tableColumn>
    <tableColumn id="7" xr3:uid="{00000000-0010-0000-0400-000007000000}" name="A Cobrar" dataDxfId="616">
      <calculatedColumnFormula>ROUND(Tabla5121314_3[[#This Row],[Horas trabajadas]]*Tabla5121314_3[[#This Row],[Tarifas x horas]],0)</calculatedColumnFormula>
    </tableColumn>
    <tableColumn id="8" xr3:uid="{00000000-0010-0000-0400-000008000000}" name="Bonif" dataDxfId="615"/>
    <tableColumn id="9" xr3:uid="{00000000-0010-0000-0400-000009000000}" name="Sal. Dev" dataDxfId="614">
      <calculatedColumnFormula>Tabla5121314_3[[#This Row],[A Cobrar]]+Tabla5121314_3[[#This Row],[Bonif]]</calculatedColumnFormula>
    </tableColumn>
    <tableColumn id="11" xr3:uid="{00000000-0010-0000-0400-00000B000000}" name="Ausencias" dataDxfId="613"/>
    <tableColumn id="10" xr3:uid="{00000000-0010-0000-0400-00000A000000}" name="Vacaciones" dataDxfId="612">
      <calculatedColumnFormula>'Submayor Vacaciones'!#REF!</calculatedColumnFormula>
    </tableColumn>
    <tableColumn id="15" xr3:uid="{00000000-0010-0000-0400-00000F000000}" name="pago x vacaciones" dataDxfId="611">
      <calculatedColumnFormula array="1">MMULT(Tabla5121314_3[[#This Row],[Tarifas x horas]],8)*Tabla5121314_3[[#This Row],[Vacaciones]]</calculatedColumnFormula>
    </tableColumn>
    <tableColumn id="13" xr3:uid="{47BFE9D3-1F43-49B7-973A-833B99609717}" name="Salario Neto" dataDxfId="610">
      <calculatedColumnFormula>Tabla5121314_3[[#This Row],[Sal. Dev]]-Tabla5121314_3[[#This Row],[Ausencias]]+Tabla5121314_3[[#This Row],[pago x vacaciones]]</calculatedColumnFormula>
    </tableColumn>
    <tableColumn id="14" xr3:uid="{142B951A-9E87-4507-8826-EFA0BE503438}" name="importe Seg Social" dataDxfId="609">
      <calculatedColumnFormula>5%*Tabla5121314_3[[#This Row],[Salario Neto]]</calculatedColumnFormula>
    </tableColumn>
    <tableColumn id="16" xr3:uid="{F91EA6E2-F362-4731-AFA2-94122649C382}" name="importe Ing Pers" dataDxfId="608"/>
    <tableColumn id="17" xr3:uid="{8C73AFA5-05B4-4CC1-A07A-914C85FB5A09}" name="Salario a pagar" dataDxfId="607">
      <calculatedColumnFormula>Tabla5121314_3[[#This Row],[Sal. Dev]]-Tabla5121314_3[[#This Row],[Ausencias]]+Tabla5121314_3[[#This Row],[pago x vacaciones]]-Tabla5121314_3[[#This Row],[importe Seg Social]]-Tabla5121314_3[[#This Row],[importe Ing Pers]]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a5121314_34" displayName="Tabla5121314_34" ref="A163:O179" totalsRowShown="0" headerRowDxfId="606" headerRowBorderDxfId="605">
  <autoFilter ref="A163:O179" xr:uid="{00000000-0009-0000-0100-000003000000}"/>
  <tableColumns count="15">
    <tableColumn id="2" xr3:uid="{00000000-0010-0000-0500-000002000000}" name="No. Exp" dataDxfId="604"/>
    <tableColumn id="3" xr3:uid="{00000000-0010-0000-0500-000003000000}" name="Nombre y Apellido" dataDxfId="603">
      <calculatedColumnFormula>VLOOKUP(Tabla5121314_34[[#This Row],[No. Exp]],Tabla6[],2)</calculatedColumnFormula>
    </tableColumn>
    <tableColumn id="4" xr3:uid="{00000000-0010-0000-0500-000004000000}" name="C.I" dataDxfId="602">
      <calculatedColumnFormula>VLOOKUP(Tabla5121314_34[[#This Row],[No. Exp]],Tabla6[],3)</calculatedColumnFormula>
    </tableColumn>
    <tableColumn id="5" xr3:uid="{00000000-0010-0000-0500-000005000000}" name="Horas trabajadas" dataDxfId="601">
      <calculatedColumnFormula>#REF!</calculatedColumnFormula>
    </tableColumn>
    <tableColumn id="6" xr3:uid="{00000000-0010-0000-0500-000006000000}" name="Tarifas x Horas" dataDxfId="600">
      <calculatedColumnFormula>VLOOKUP(Tabla5121314_34[[#This Row],[No. Exp]],Tabla6[],5)</calculatedColumnFormula>
    </tableColumn>
    <tableColumn id="7" xr3:uid="{00000000-0010-0000-0500-000007000000}" name="A Cobrar" dataDxfId="599">
      <calculatedColumnFormula>ROUND(Tabla5121314_34[[#This Row],[Horas trabajadas]]*Tabla5121314_34[[#This Row],[Tarifas x Horas]],0)</calculatedColumnFormula>
    </tableColumn>
    <tableColumn id="8" xr3:uid="{00000000-0010-0000-0500-000008000000}" name="Bonif" dataDxfId="598"/>
    <tableColumn id="9" xr3:uid="{00000000-0010-0000-0500-000009000000}" name="Sal. Dev" dataDxfId="597">
      <calculatedColumnFormula>Tabla5121314_34[[#This Row],[A Cobrar]]+Tabla5121314_34[[#This Row],[Bonif]]</calculatedColumnFormula>
    </tableColumn>
    <tableColumn id="11" xr3:uid="{00000000-0010-0000-0500-00000B000000}" name="Ausencias" dataDxfId="596"/>
    <tableColumn id="10" xr3:uid="{00000000-0010-0000-0500-00000A000000}" name="Vacaciones" dataDxfId="595">
      <calculatedColumnFormula>'Submayor Vacaciones'!#REF!</calculatedColumnFormula>
    </tableColumn>
    <tableColumn id="15" xr3:uid="{00000000-0010-0000-0500-00000F000000}" name="pago x vacaciones" dataDxfId="594">
      <calculatedColumnFormula array="1">MMULT(Tabla5121314_34[[#This Row],[Tarifas x Horas]],8)*Tabla5121314_34[[#This Row],[Vacaciones]]</calculatedColumnFormula>
    </tableColumn>
    <tableColumn id="13" xr3:uid="{3087347D-A88B-4F4F-93DA-A6B92A0A886F}" name="Salario Neto" dataDxfId="593">
      <calculatedColumnFormula>Tabla5121314_34[[#This Row],[Sal. Dev]]-Tabla5121314_34[[#This Row],[Ausencias]]</calculatedColumnFormula>
    </tableColumn>
    <tableColumn id="14" xr3:uid="{5457E06C-DD4A-48E3-AAF2-4CA615BA7A10}" name="importe Seg Social" dataDxfId="592">
      <calculatedColumnFormula>5%*Tabla5121314_34[[#This Row],[Salario Neto]]</calculatedColumnFormula>
    </tableColumn>
    <tableColumn id="16" xr3:uid="{65926562-3189-400F-A4B6-C6434DE30B87}" name="importe Ing Pers" dataDxfId="591"/>
    <tableColumn id="17" xr3:uid="{E0EDEAB1-4A54-4FAA-A8A4-DA79C1C2EABA}" name="Salario a pagar" dataDxfId="590">
      <calculatedColumnFormula>Tabla5121314_34[[#This Row],[Sal. Dev]]-Tabla5121314_34[[#This Row],[Ausencias]]+Tabla5121314_34[[#This Row],[pago x vacaciones]]-Tabla5121314_34[[#This Row],[importe Seg Social]]-Tabla5121314_34[[#This Row],[importe Ing Pers]]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Tabla5121314_345" displayName="Tabla5121314_345" ref="A201:O202" totalsRowShown="0" headerRowDxfId="589" dataDxfId="587" headerRowBorderDxfId="588">
  <autoFilter ref="A201:O202" xr:uid="{00000000-0009-0000-0100-000004000000}"/>
  <tableColumns count="15">
    <tableColumn id="2" xr3:uid="{00000000-0010-0000-0600-000002000000}" name="No. Exp" dataDxfId="586"/>
    <tableColumn id="3" xr3:uid="{00000000-0010-0000-0600-000003000000}" name="Nombre y Apellido" dataDxfId="585">
      <calculatedColumnFormula>VLOOKUP(Tabla5121314_345[[#This Row],[No. Exp]],Tabla6[],2)</calculatedColumnFormula>
    </tableColumn>
    <tableColumn id="4" xr3:uid="{00000000-0010-0000-0600-000004000000}" name="C.I" dataDxfId="584">
      <calculatedColumnFormula>VLOOKUP(Tabla5121314_345[[#This Row],[No. Exp]],Tabla6[],3)</calculatedColumnFormula>
    </tableColumn>
    <tableColumn id="5" xr3:uid="{00000000-0010-0000-0600-000005000000}" name="Horas trabajadas" dataDxfId="583">
      <calculatedColumnFormula>M198</calculatedColumnFormula>
    </tableColumn>
    <tableColumn id="6" xr3:uid="{00000000-0010-0000-0600-000006000000}" name="Tarifas x Horas" dataDxfId="582">
      <calculatedColumnFormula>VLOOKUP(Tabla5121314_345[[#This Row],[No. Exp]],Tabla6[],5)</calculatedColumnFormula>
    </tableColumn>
    <tableColumn id="7" xr3:uid="{00000000-0010-0000-0600-000007000000}" name="A Cobrar" dataDxfId="581">
      <calculatedColumnFormula>ROUND(Tabla5121314_345[[#This Row],[Horas trabajadas]]*Tabla5121314_345[[#This Row],[Tarifas x Horas]],0)</calculatedColumnFormula>
    </tableColumn>
    <tableColumn id="8" xr3:uid="{00000000-0010-0000-0600-000008000000}" name="Bonif" dataDxfId="580"/>
    <tableColumn id="9" xr3:uid="{00000000-0010-0000-0600-000009000000}" name="Sal. Dev" dataDxfId="579">
      <calculatedColumnFormula>Tabla5121314_345[[#This Row],[A Cobrar]]+Tabla5121314_345[[#This Row],[Bonif]]</calculatedColumnFormula>
    </tableColumn>
    <tableColumn id="11" xr3:uid="{00000000-0010-0000-0600-00000B000000}" name="Ausencias" dataDxfId="578"/>
    <tableColumn id="10" xr3:uid="{A8CF3E96-5DD7-480A-8534-5AD1DA4363B8}" name="Vacaciones" dataDxfId="577"/>
    <tableColumn id="13" xr3:uid="{6B71F4D4-ECA1-46BA-ADB4-2F38B9C099B6}" name="pago x vacaciones" dataDxfId="576">
      <calculatedColumnFormula array="1">MMULT(Tabla5121314_345[[#This Row],[Tarifas x Horas]],8)*Tabla5121314_345[[#This Row],[Vacaciones]]</calculatedColumnFormula>
    </tableColumn>
    <tableColumn id="14" xr3:uid="{A0937961-3B44-40A9-B527-524249CC44A3}" name="Salario Neto" dataDxfId="575">
      <calculatedColumnFormula>Tabla5121314_345[[#This Row],[Sal. Dev]]-Tabla5121314_345[[#This Row],[Ausencias]]</calculatedColumnFormula>
    </tableColumn>
    <tableColumn id="15" xr3:uid="{43882B13-C8C9-452E-A9B4-E9917562828E}" name="importe Seg Social" dataDxfId="574">
      <calculatedColumnFormula>5%*Tabla5121314_345[[#This Row],[Salario Neto]]</calculatedColumnFormula>
    </tableColumn>
    <tableColumn id="16" xr3:uid="{E802D08F-CADE-4B4C-A871-874621F433C9}" name="importe Ing Pers" dataDxfId="573"/>
    <tableColumn id="17" xr3:uid="{1738C699-617C-495C-A6FB-6263A601C0C7}" name="Salario a pagar" dataDxfId="572">
      <calculatedColumnFormula>Tabla5121314_345[[#This Row],[Sal. Dev]]-Tabla5121314_345[[#This Row],[Ausencias]]+Tabla5121314_345[[#This Row],[pago x vacaciones]]-Tabla5121314_345[[#This Row],[importe Seg Social]]-Tabla5121314_345[[#This Row],[importe Ing Pers]]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466D56D-2757-4C30-A164-C713366DE637}" name="Tabla5121314_3459" displayName="Tabla5121314_3459" ref="A186:O192" totalsRowShown="0" headerRowDxfId="571" dataDxfId="569" headerRowBorderDxfId="570">
  <autoFilter ref="A186:O192" xr:uid="{5466D56D-2757-4C30-A164-C713366DE637}"/>
  <tableColumns count="15">
    <tableColumn id="2" xr3:uid="{7967F2F7-D3CC-446D-BD0E-D8751F55200D}" name="No. Exp" dataDxfId="568"/>
    <tableColumn id="3" xr3:uid="{70FF0996-191C-4599-9C92-D937F2862676}" name="Nombre y Apellido" dataDxfId="567">
      <calculatedColumnFormula>VLOOKUP(Tabla5121314_3459[[#This Row],[No. Exp]],Tabla6[],2)</calculatedColumnFormula>
    </tableColumn>
    <tableColumn id="4" xr3:uid="{8E45FE52-6410-4E20-9A96-4629C8741060}" name="C.I" dataDxfId="566">
      <calculatedColumnFormula>VLOOKUP(Tabla5121314_3459[[#This Row],[No. Exp]],Tabla6[],3)</calculatedColumnFormula>
    </tableColumn>
    <tableColumn id="5" xr3:uid="{49B62480-C8B4-461B-B026-8C8BEC6F81EB}" name="Horas trabajadas" dataDxfId="565">
      <calculatedColumnFormula>M183</calculatedColumnFormula>
    </tableColumn>
    <tableColumn id="6" xr3:uid="{4FBF4523-EF6C-446B-A948-216FF529E201}" name="Tarifas x Horas" dataDxfId="564">
      <calculatedColumnFormula>VLOOKUP(Tabla5121314_3459[[#This Row],[No. Exp]],Tabla6[],5)</calculatedColumnFormula>
    </tableColumn>
    <tableColumn id="7" xr3:uid="{96433CA0-9F2B-4CCF-8B48-56886E3A814E}" name="A Cobrar" dataDxfId="563">
      <calculatedColumnFormula>ROUND(Tabla5121314_3459[[#This Row],[Horas trabajadas]]*Tabla5121314_3459[[#This Row],[Tarifas x Horas]],0)</calculatedColumnFormula>
    </tableColumn>
    <tableColumn id="8" xr3:uid="{E10AA6BD-7A0D-4A5F-82A0-42D986D20D4D}" name="Bonif" dataDxfId="562"/>
    <tableColumn id="9" xr3:uid="{F3A3447F-4314-4797-B509-C8F1205D1C9E}" name="Sal. Dev" dataDxfId="561">
      <calculatedColumnFormula>Tabla5121314_3459[[#This Row],[A Cobrar]]+Tabla5121314_3459[[#This Row],[Bonif]]</calculatedColumnFormula>
    </tableColumn>
    <tableColumn id="11" xr3:uid="{34A67394-2285-4173-B8ED-29B29CCB5E05}" name="Ausencias" dataDxfId="560"/>
    <tableColumn id="10" xr3:uid="{FDFD2973-E8FE-424C-8932-7B8A69161536}" name="Vacaciones" dataDxfId="559"/>
    <tableColumn id="13" xr3:uid="{27284360-4B46-4848-AC68-63908DDDC881}" name="pago x vacaciones" dataDxfId="558">
      <calculatedColumnFormula array="1">MMULT(Tabla5121314_3459[[#This Row],[Tarifas x Horas]],8)*Tabla5121314_3459[[#This Row],[Vacaciones]]</calculatedColumnFormula>
    </tableColumn>
    <tableColumn id="14" xr3:uid="{E4A96627-D340-4DCA-96B2-4A869EF5E7C1}" name="Salario Neto" dataDxfId="557">
      <calculatedColumnFormula>Tabla5121314_3459[[#This Row],[Sal. Dev]]-Tabla5121314_3459[[#This Row],[Ausencias]]</calculatedColumnFormula>
    </tableColumn>
    <tableColumn id="15" xr3:uid="{A2D16670-3269-431B-BB3B-CB025D8EAD5E}" name="importe Seg Social" dataDxfId="556">
      <calculatedColumnFormula>5%*Tabla5121314_3459[[#This Row],[Salario Neto]]</calculatedColumnFormula>
    </tableColumn>
    <tableColumn id="16" xr3:uid="{1CFCC738-E132-43F2-94ED-69E022CE4DA1}" name="importe Ing Pers" dataDxfId="555"/>
    <tableColumn id="17" xr3:uid="{C1600B75-1F8A-47A4-9DF2-9E3DA2F99C97}" name="Salario a pagar" dataDxfId="554">
      <calculatedColumnFormula>Tabla5121314_3459[[#This Row],[Sal. Dev]]-Tabla5121314_3459[[#This Row],[Ausencias]]+Tabla5121314_3459[[#This Row],[pago x vacaciones]]-Tabla5121314_3459[[#This Row],[importe Seg Social]]-Tabla5121314_3459[[#This Row],[importe Ing Pers]]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EE0C91-E305-41D7-A126-BE1C643C9A68}" name="Tabla52" displayName="Tabla52" ref="A10:P16" totalsRowShown="0" headerRowDxfId="553" dataDxfId="551" headerRowBorderDxfId="552" tableBorderDxfId="550">
  <autoFilter ref="A10:P16" xr:uid="{00000000-0009-0000-0100-000005000000}"/>
  <tableColumns count="16">
    <tableColumn id="2" xr3:uid="{BE1180E0-F197-46AB-B431-49DC1D5ABBA7}" name="No. Exp" dataDxfId="549"/>
    <tableColumn id="3" xr3:uid="{A0B20148-C851-4F12-A938-6251A8527F72}" name="Nombre y Apellido" dataDxfId="548">
      <calculatedColumnFormula>VLOOKUP(Tabla52[[#This Row],[No. Exp]],Tabla6[],2)</calculatedColumnFormula>
    </tableColumn>
    <tableColumn id="14" xr3:uid="{55A542DE-0E84-4175-8616-53BD55FB2278}" name="C.I" dataDxfId="547">
      <calculatedColumnFormula>VLOOKUP(Tabla52[[#This Row],[No. Exp]],Tabla6[],3)</calculatedColumnFormula>
    </tableColumn>
    <tableColumn id="4" xr3:uid="{4669FC32-0B7A-4CE0-A088-6B893D2139E5}" name="Horas Trabajadas" dataDxfId="546">
      <calculatedColumnFormula>#REF!</calculatedColumnFormula>
    </tableColumn>
    <tableColumn id="5" xr3:uid="{BDE04C0E-C2E2-4B59-A8D3-917FD205D373}" name="Tarifas por Horas" dataDxfId="545">
      <calculatedColumnFormula>VLOOKUP(Tabla52[[#This Row],[No. Exp]],Tabla6[],5)</calculatedColumnFormula>
    </tableColumn>
    <tableColumn id="6" xr3:uid="{2C0E4490-A4D2-4CD7-82E9-E8EB703D61E8}" name="Salario Básico" dataDxfId="544">
      <calculatedColumnFormula>ROUND(Tabla52[[#This Row],[Horas Trabajadas]]*Tabla52[[#This Row],[Tarifas por Horas]],0)</calculatedColumnFormula>
    </tableColumn>
    <tableColumn id="7" xr3:uid="{C78B3B86-F828-41D8-B1C3-03EEDBFFEEB7}" name="Bonif" dataDxfId="543"/>
    <tableColumn id="9" xr3:uid="{920C43B8-A311-4BCB-A075-47EC86119FC9}" name="Sal. Dev" dataDxfId="542">
      <calculatedColumnFormula>Tabla52[[#This Row],[Salario Básico]]+Tabla52[[#This Row],[Bonif]]</calculatedColumnFormula>
    </tableColumn>
    <tableColumn id="16" xr3:uid="{F0A57B36-40FE-4E99-8E3B-CB183DA18BB1}" name="Ausencias" dataDxfId="541">
      <calculatedColumnFormula>E7</calculatedColumnFormula>
    </tableColumn>
    <tableColumn id="8" xr3:uid="{70FD33BE-9C83-4159-9761-D932BBBF2D8E}" name="Vacaciones" dataDxfId="540">
      <calculatedColumnFormula>'Submayor Vacaciones'!#REF!</calculatedColumnFormula>
    </tableColumn>
    <tableColumn id="12" xr3:uid="{FA38FF04-0DC3-4D5C-8589-AAB42F17AE2A}" name="pago x vacaciones" dataDxfId="539">
      <calculatedColumnFormula array="1">MMULT(Tabla52[[#This Row],[Tarifas por Horas]],8)*Tabla52[[#This Row],[Vacaciones]]</calculatedColumnFormula>
    </tableColumn>
    <tableColumn id="15" xr3:uid="{A490A081-2919-491F-A62E-AC0E1D3348DC}" name="Salario Neto" dataDxfId="538">
      <calculatedColumnFormula>Tabla52[[#This Row],[Sal. Dev]]-Tabla52[[#This Row],[Ausencias]]+Tabla52[[#This Row],[pago x vacaciones]]</calculatedColumnFormula>
    </tableColumn>
    <tableColumn id="13" xr3:uid="{400B394E-5AF8-4837-AD78-A0AE840EAB82}" name="importe Seg Social" dataDxfId="537">
      <calculatedColumnFormula>5%*Tabla52[[#This Row],[Salario Neto]]</calculatedColumnFormula>
    </tableColumn>
    <tableColumn id="11" xr3:uid="{34261D65-74FD-4736-80AD-051DA5ECF97A}" name="Imp. Sobr. Ing. Per 3% (3260.00-9510.00)" dataDxfId="536">
      <calculatedColumnFormula array="1">MMULT(3.125%,Tabla52[[#This Row],[Salario Neto]])</calculatedColumnFormula>
    </tableColumn>
    <tableColumn id="1" xr3:uid="{9CBFF46D-6A3A-44EC-BB84-C0A5BFF42476}" name="Imp. Sobr. Ing. Per 5% (9510.00-15000.00)" dataDxfId="535">
      <calculatedColumnFormula>(Tabla52[[#This Row],[Salario Neto]]-9510)*5%</calculatedColumnFormula>
    </tableColumn>
    <tableColumn id="17" xr3:uid="{8E72F21E-0205-4814-AF55-62DB32433C94}" name="Salario a pagar" dataDxfId="534">
      <calculatedColumnFormula>Tabla52[[#This Row],[Sal. Dev]]-Tabla52[[#This Row],[Ausencias]]+Tabla52[[#This Row],[pago x vacaciones]]-Tabla52[[#This Row],[importe Seg Social]]-Tabla52[[#This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F8D23AB-FE8F-479A-B348-B45807C90A2B}" name="Tabla51210" displayName="Tabla51210" ref="A28:P54" totalsRowShown="0" headerRowDxfId="533" dataDxfId="531" headerRowBorderDxfId="532" tableBorderDxfId="530">
  <autoFilter ref="A28:P54" xr:uid="{00000000-0009-0000-0100-00000B000000}"/>
  <tableColumns count="16">
    <tableColumn id="2" xr3:uid="{36CB663E-1AE6-4A3B-9FDF-73320BF07630}" name="No. Exp" dataDxfId="529"/>
    <tableColumn id="3" xr3:uid="{FCB268E1-58CA-42C8-8C5F-BAC48BD76F71}" name="Nombre y Apellido" dataDxfId="528">
      <calculatedColumnFormula>VLOOKUP(Tabla51210[[#This Row],[No. Exp]],Tabla6[],2)</calculatedColumnFormula>
    </tableColumn>
    <tableColumn id="14" xr3:uid="{160EF04F-E59C-4659-9072-9A801E533BDC}" name="C.I" dataDxfId="527">
      <calculatedColumnFormula>VLOOKUP(Tabla51210[[#This Row],[No. Exp]],Tabla6[],3)</calculatedColumnFormula>
    </tableColumn>
    <tableColumn id="4" xr3:uid="{DF8E6C3F-9E60-46A9-BE0B-68DD2989EF48}" name="Horas Trabajadas" dataDxfId="526">
      <calculatedColumnFormula>#REF!</calculatedColumnFormula>
    </tableColumn>
    <tableColumn id="5" xr3:uid="{D2D614EE-4D47-4777-B600-A3B9C05A52DE}" name="Tarifas x horas " dataDxfId="525">
      <calculatedColumnFormula>VLOOKUP(Tabla51210[[#This Row],[No. Exp]],Tabla6[],5)</calculatedColumnFormula>
    </tableColumn>
    <tableColumn id="6" xr3:uid="{78EACB1E-83BA-407F-9C80-294F86042A22}" name="Salario Básico" dataDxfId="524">
      <calculatedColumnFormula>ROUND(Tabla51210[[#This Row],[Horas Trabajadas]]*Tabla51210[[#This Row],[Tarifas x horas ]],0)</calculatedColumnFormula>
    </tableColumn>
    <tableColumn id="7" xr3:uid="{DF1D3D45-7049-4908-BEBE-6DFED933EEF8}" name="Bonif" dataDxfId="523"/>
    <tableColumn id="9" xr3:uid="{DF8B57A0-3F52-40F1-9B6F-B8220890E195}" name="Sal. Dev" dataDxfId="522">
      <calculatedColumnFormula>Tabla51210[[#This Row],[Salario Básico]]+Tabla51210[[#This Row],[Bonif]]</calculatedColumnFormula>
    </tableColumn>
    <tableColumn id="16" xr3:uid="{D9F5B9CB-B175-4CE9-A261-DDE12186ED5B}" name="Ausencias" dataDxfId="521"/>
    <tableColumn id="8" xr3:uid="{53268380-C9AC-449A-A829-D201AEF41AAF}" name="Vacaciones" dataDxfId="520">
      <calculatedColumnFormula>'Submayor Vacaciones'!#REF!</calculatedColumnFormula>
    </tableColumn>
    <tableColumn id="12" xr3:uid="{9EBFBF7B-24D2-4ADC-BF80-7B8185714028}" name="pago x Vacaciones" dataDxfId="519">
      <calculatedColumnFormula>Tabla51210[[#This Row],[Sal. Dev]]/24*Tabla51210[[#This Row],[Vacaciones]]</calculatedColumnFormula>
    </tableColumn>
    <tableColumn id="10" xr3:uid="{CEADE2C0-0AE6-4364-94AB-E1453A3E1E24}" name="Salario Neto" dataDxfId="518">
      <calculatedColumnFormula>Tabla51210[[#This Row],[Sal. Dev]]-Tabla51210[[#This Row],[Ausencias]]+Tabla51210[[#This Row],[pago x Vacaciones]]</calculatedColumnFormula>
    </tableColumn>
    <tableColumn id="11" xr3:uid="{1B7BD375-CFC8-470E-B3A4-B591444F176E}" name="importe Seg Social" dataDxfId="517">
      <calculatedColumnFormula>5%*Tabla51210[[#This Row],[Salario Neto]]</calculatedColumnFormula>
    </tableColumn>
    <tableColumn id="13" xr3:uid="{7CD31062-E500-4F41-AC04-46AE46B1A542}" name="Imp. Sobr. Ing. Per 3% (3260.00-9510.00)" dataDxfId="516">
      <calculatedColumnFormula>(9510-3260)*3%</calculatedColumnFormula>
    </tableColumn>
    <tableColumn id="1" xr3:uid="{109719C6-E441-4EF2-A901-730CD2653293}" name="Imp. Sobr. Ing. Per 5% (9510.00-15000.00)" dataDxfId="515"/>
    <tableColumn id="15" xr3:uid="{37F46058-3BF9-40D6-B220-2E54D97807A1}" name="Salario a pagar" dataDxfId="514">
      <calculatedColumnFormula>Tabla51210[[#This Row],[Sal. Dev]]-Tabla51210[[#This Row],[Ausencias]]+Tabla51210[[#This Row],[pago x Vacaciones]]-Tabla51210[[#This Row],[importe Seg Social]]-Tabla51210[[#This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888769C-4E7A-4276-8086-60B975E2295A}" name="Tabla5121311" displayName="Tabla5121311" ref="A75:P92" totalsRowShown="0" headerRowDxfId="513" dataDxfId="511" headerRowBorderDxfId="512" tableBorderDxfId="510">
  <autoFilter ref="A75:P92" xr:uid="{00000000-0009-0000-0100-00000C000000}"/>
  <tableColumns count="16">
    <tableColumn id="2" xr3:uid="{C8F93657-53DC-4B73-AFE3-B5313EA6F37C}" name="No. Exp" dataDxfId="509"/>
    <tableColumn id="3" xr3:uid="{B570E315-EEA5-46BE-AFEE-3569D41BFA22}" name="Nombre y Apellido" dataDxfId="508">
      <calculatedColumnFormula>VLOOKUP(Tabla5121311[[#This Row],[No. Exp]],Tabla6[],2)</calculatedColumnFormula>
    </tableColumn>
    <tableColumn id="14" xr3:uid="{20FC088F-E3D6-4498-B391-DFAA6554933C}" name="C.I" dataDxfId="507">
      <calculatedColumnFormula>VLOOKUP(Tabla5121311[[#This Row],[No. Exp]],Tabla6[],3)</calculatedColumnFormula>
    </tableColumn>
    <tableColumn id="4" xr3:uid="{3F03AFDD-F012-46D7-A84C-C9D59C77BE2C}" name="Horas Trabajadas" dataDxfId="506">
      <calculatedColumnFormula>#REF!</calculatedColumnFormula>
    </tableColumn>
    <tableColumn id="5" xr3:uid="{521BC8C3-D713-4CFA-958D-66D308225E92}" name="Tarifas por horas" dataDxfId="505">
      <calculatedColumnFormula>VLOOKUP(Tabla5121311[[#This Row],[No. Exp]],Tabla6[],5)</calculatedColumnFormula>
    </tableColumn>
    <tableColumn id="6" xr3:uid="{D64F48D6-A7EB-413E-A3F6-6D6D50623463}" name="Salario Básico" dataDxfId="504">
      <calculatedColumnFormula>ROUND(Tabla5121311[[#This Row],[Horas Trabajadas]]*Tabla5121311[[#This Row],[Tarifas por horas]],0)</calculatedColumnFormula>
    </tableColumn>
    <tableColumn id="7" xr3:uid="{D99840CD-D75E-49CB-A7AC-BC42519EEA44}" name="Bonif" dataDxfId="503"/>
    <tableColumn id="9" xr3:uid="{3409E0BE-A8E5-48E8-A129-96FD2B5CE452}" name="Sal. Dev" dataDxfId="502">
      <calculatedColumnFormula>Tabla5121311[[#This Row],[Salario Básico]]+Tabla5121311[[#This Row],[Bonif]]</calculatedColumnFormula>
    </tableColumn>
    <tableColumn id="16" xr3:uid="{50D1E3C5-E212-45CC-ABAE-B5E496F5ACE5}" name="Ausencias" dataDxfId="501"/>
    <tableColumn id="8" xr3:uid="{2F65797C-AEB6-430E-85ED-F75977EC2456}" name="Vacaciones" dataDxfId="500">
      <calculatedColumnFormula>'Submayor Vacaciones'!#REF!</calculatedColumnFormula>
    </tableColumn>
    <tableColumn id="12" xr3:uid="{B44C6E56-72AB-47C3-8A09-636B6C53342E}" name="pago x vacaciones" dataDxfId="499">
      <calculatedColumnFormula array="1">MMULT(Tabla5121311[[#This Row],[Tarifas por horas]],8)*Tabla5121311[[#This Row],[Vacaciones]]</calculatedColumnFormula>
    </tableColumn>
    <tableColumn id="10" xr3:uid="{48ADA3B3-AB1A-4517-99E4-8A2EBAB95D47}" name="Salario Neto" dataDxfId="498">
      <calculatedColumnFormula>Tabla5121311[[#This Row],[Sal. Dev]]-Tabla5121311[[#This Row],[Ausencias]]+Tabla5121311[[#This Row],[pago x vacaciones]]</calculatedColumnFormula>
    </tableColumn>
    <tableColumn id="11" xr3:uid="{2546BFA1-98F7-4018-99CA-5C75342890FF}" name="importe Seg Social" dataDxfId="497">
      <calculatedColumnFormula>5%*Tabla5121311[[#This Row],[Salario Neto]]</calculatedColumnFormula>
    </tableColumn>
    <tableColumn id="13" xr3:uid="{6263602F-877F-435F-B2C8-73BA5337D886}" name="Imp. Sobr. Ing. Per 3% (3260.00-9510.00)" dataDxfId="496">
      <calculatedColumnFormula>(9510-3260)*3%</calculatedColumnFormula>
    </tableColumn>
    <tableColumn id="1" xr3:uid="{26643B59-EB82-49A1-B4F2-BAEC70F2FFBC}" name="Imp. Sobr. Ing. Per 5% (9510.00-15000.00)" dataDxfId="495"/>
    <tableColumn id="15" xr3:uid="{C69C2B5D-DF02-4160-B406-C79DEA34F4AA}" name="Salario a pagar" dataDxfId="494">
      <calculatedColumnFormula>Tabla5121311[[#This Row],[Sal. Dev]]-Tabla5121311[[#This Row],[Ausencias]]+Tabla5121311[[#This Row],[pago x vacaciones]]-Tabla5121311[[#This Row],[importe Seg Social]]-Tabla5121311[[#This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F296A0E-5C38-414D-BCC5-C64025A68FFF}" name="Tabla512131415" displayName="Tabla512131415" ref="A109:P114" totalsRowShown="0" headerRowDxfId="493" dataDxfId="491" headerRowBorderDxfId="492">
  <autoFilter ref="A109:P114" xr:uid="{00000000-0009-0000-0100-00000D000000}"/>
  <tableColumns count="16">
    <tableColumn id="2" xr3:uid="{BC4DB2C3-ECE6-4ED3-8E99-B55EFF2B8E1E}" name="No. Exp" dataDxfId="490"/>
    <tableColumn id="3" xr3:uid="{D6CCEED1-9341-4980-A03D-8CF41378D0D7}" name="Nombre y Apellido" dataDxfId="489">
      <calculatedColumnFormula>VLOOKUP(Tabla512131415[[#This Row],[No. Exp]],Tabla6[],2)</calculatedColumnFormula>
    </tableColumn>
    <tableColumn id="14" xr3:uid="{C858D620-03D9-4EC4-9D6E-D6E4B21C6EB2}" name="C.I" dataDxfId="488">
      <calculatedColumnFormula>VLOOKUP(Tabla512131415[[#This Row],[No. Exp]],Tabla6[],3)</calculatedColumnFormula>
    </tableColumn>
    <tableColumn id="4" xr3:uid="{1B83C641-CA1C-48E9-89EB-65FE6003FC8B}" name="Horas Trabajadas" dataDxfId="487">
      <calculatedColumnFormula>#REF!</calculatedColumnFormula>
    </tableColumn>
    <tableColumn id="5" xr3:uid="{B5D3345D-99A0-45A1-8C0B-C88481425BC7}" name="Tarifas x horas" dataDxfId="486">
      <calculatedColumnFormula>VLOOKUP(Tabla512131415[[#This Row],[No. Exp]],Tabla6[],5)</calculatedColumnFormula>
    </tableColumn>
    <tableColumn id="6" xr3:uid="{8AD3B635-9121-4088-810A-AD9C47EA1AC8}" name="A Cobrar" dataDxfId="485">
      <calculatedColumnFormula>ROUND(Tabla512131415[[#This Row],[Horas Trabajadas]]*Tabla512131415[[#This Row],[Tarifas x horas]],0)</calculatedColumnFormula>
    </tableColumn>
    <tableColumn id="7" xr3:uid="{DC30C776-4322-48EB-93BC-A5418E50B9E6}" name="Bonif" dataDxfId="484"/>
    <tableColumn id="9" xr3:uid="{F5C86360-5F09-40AD-ACFD-8BDE07ACF215}" name="Sal. Dev" dataDxfId="483">
      <calculatedColumnFormula>Tabla512131415[[#This Row],[A Cobrar]]+Tabla512131415[[#This Row],[Bonif]]</calculatedColumnFormula>
    </tableColumn>
    <tableColumn id="16" xr3:uid="{20326B8A-3EF7-489E-91F0-894DA488AC77}" name="Ausencias" dataDxfId="482"/>
    <tableColumn id="8" xr3:uid="{ADCF1A0B-1D3D-4A0F-ACB9-D184C6F67541}" name="Vacaciones" dataDxfId="481"/>
    <tableColumn id="12" xr3:uid="{9782AF1D-C67C-4B2D-947A-024D2232ED76}" name="pago x vacaciones" dataDxfId="480">
      <calculatedColumnFormula array="1">MMULT(Tabla512131415[[#This Row],[Tarifas x horas]],8)*Tabla512131415[[#This Row],[Vacaciones]]</calculatedColumnFormula>
    </tableColumn>
    <tableColumn id="10" xr3:uid="{41A956D1-6D1E-430D-B883-F520F0BDE4C1}" name="Salario Neto" dataDxfId="479">
      <calculatedColumnFormula>Tabla512131415[[#This Row],[Sal. Dev]]-Tabla512131415[[#This Row],[Ausencias]]+Tabla512131415[[#This Row],[pago x vacaciones]]</calculatedColumnFormula>
    </tableColumn>
    <tableColumn id="11" xr3:uid="{4E3E8CA6-5EC0-430C-B3F4-0554102DA595}" name="importe Seg Social" dataDxfId="478">
      <calculatedColumnFormula>5%*Tabla512131415[[#This Row],[Salario Neto]]</calculatedColumnFormula>
    </tableColumn>
    <tableColumn id="13" xr3:uid="{20B1B1B3-A0C2-4CBA-907E-A5E624837575}" name="Imp. Sobr. Ing. Per 3% (3260.00-9510.00)" dataDxfId="477">
      <calculatedColumnFormula>(9510-3260)*3%</calculatedColumnFormula>
    </tableColumn>
    <tableColumn id="1" xr3:uid="{BE06948E-469D-4583-8663-5D8E394AE3E1}" name="Imp. Sobr. Ing. Per 5% (9510.00-15000.00)" dataDxfId="476"/>
    <tableColumn id="15" xr3:uid="{E29E4FD1-93B1-45D3-B5DE-76BD86EB73B3}" name="Salario a pagar" dataDxfId="475">
      <calculatedColumnFormula>Tabla512131415[[#This Row],[Sal. Dev]]-Tabla512131415[[#This Row],[Ausencias]]+Tabla512131415[[#This Row],[pago x vacaciones]]-Tabla512131415[[#This Row],[importe Seg Social]]-Tabla512131415[[#This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E416DB6-8C16-496F-B95A-CD4C200D9713}" name="Tabla5121314_316" displayName="Tabla5121314_316" ref="A133:P149" totalsRowShown="0" headerRowDxfId="474" dataDxfId="472" headerRowBorderDxfId="473" tableBorderDxfId="471">
  <autoFilter ref="A133:P149" xr:uid="{00000000-0009-0000-0100-000002000000}"/>
  <tableColumns count="16">
    <tableColumn id="2" xr3:uid="{19DD89E0-7B90-4801-81F2-B9FAF710872D}" name="No. Exp" dataDxfId="470"/>
    <tableColumn id="3" xr3:uid="{F24E024C-AF25-4095-B609-206BCE59CD22}" name="Nombre y Apellido" dataDxfId="469">
      <calculatedColumnFormula>VLOOKUP(Tabla5121314_316[[#This Row],[No. Exp]],Tabla6[],2)</calculatedColumnFormula>
    </tableColumn>
    <tableColumn id="4" xr3:uid="{04A626F3-2ADF-42A0-9018-C8E47BDB7CC5}" name="C.I" dataDxfId="468">
      <calculatedColumnFormula>VLOOKUP(Tabla5121314_316[[#This Row],[No. Exp]],Tabla6[],3)</calculatedColumnFormula>
    </tableColumn>
    <tableColumn id="5" xr3:uid="{40A97B0D-DEEA-42E8-B151-8F177816D770}" name="Horas trabajadas" dataDxfId="467">
      <calculatedColumnFormula>#REF!</calculatedColumnFormula>
    </tableColumn>
    <tableColumn id="6" xr3:uid="{81229037-0772-48B7-BE29-6BEF1A34D293}" name="Tarifas x horas" dataDxfId="466">
      <calculatedColumnFormula>VLOOKUP(Tabla5121314_316[[#This Row],[No. Exp]],Tabla6[],5)</calculatedColumnFormula>
    </tableColumn>
    <tableColumn id="7" xr3:uid="{AE4BC262-4A1E-4D31-951A-93B7F0113EA2}" name="A Cobrar" dataDxfId="465">
      <calculatedColumnFormula>ROUND(Tabla5121314_316[[#This Row],[Horas trabajadas]]*Tabla5121314_316[[#This Row],[Tarifas x horas]],0)</calculatedColumnFormula>
    </tableColumn>
    <tableColumn id="8" xr3:uid="{07386A9D-4A39-4F67-BD1D-21FBD6B2E3DE}" name="Bonif" dataDxfId="464"/>
    <tableColumn id="9" xr3:uid="{66D1AF39-4843-4D6C-82CF-BF24AD858642}" name="Sal. Dev" dataDxfId="463">
      <calculatedColumnFormula>Tabla5121314_316[[#This Row],[A Cobrar]]+Tabla5121314_316[[#This Row],[Bonif]]</calculatedColumnFormula>
    </tableColumn>
    <tableColumn id="11" xr3:uid="{3990CAE3-5561-415F-86CB-BC9A96E20D41}" name="Ausencias" dataDxfId="462"/>
    <tableColumn id="10" xr3:uid="{68273BFA-FBE0-439F-8767-49721D4F70C9}" name="Vacaciones" dataDxfId="461">
      <calculatedColumnFormula>'Submayor Vacaciones'!#REF!</calculatedColumnFormula>
    </tableColumn>
    <tableColumn id="15" xr3:uid="{D5D65469-569E-462A-A180-319DB1A2916D}" name="pago x vacaciones" dataDxfId="460">
      <calculatedColumnFormula array="1">MMULT(Tabla5121314_316[[#This Row],[Tarifas x horas]],8)*Tabla5121314_316[[#This Row],[Vacaciones]]</calculatedColumnFormula>
    </tableColumn>
    <tableColumn id="13" xr3:uid="{AD3128B9-12C7-4D84-9CA7-40EC67858519}" name="Salario Neto" dataDxfId="459">
      <calculatedColumnFormula>Tabla5121314_316[[#This Row],[Sal. Dev]]-Tabla5121314_316[[#This Row],[Ausencias]]+Tabla5121314_316[[#This Row],[pago x vacaciones]]</calculatedColumnFormula>
    </tableColumn>
    <tableColumn id="14" xr3:uid="{DD4EAD9C-8379-4D76-BC02-3A7E54FE9F71}" name="importe Seg Social" dataDxfId="458">
      <calculatedColumnFormula>5%*Tabla5121314_316[[#This Row],[Salario Neto]]</calculatedColumnFormula>
    </tableColumn>
    <tableColumn id="16" xr3:uid="{B20E9E2D-DDB2-4A0A-8606-0772BF0E521F}" name="Imp. Sobr. Ing. Per 3% (3260.00-9510.00)" dataDxfId="457">
      <calculatedColumnFormula>(9510-3260)*3%</calculatedColumnFormula>
    </tableColumn>
    <tableColumn id="1" xr3:uid="{09300354-3195-486C-94E0-96857E01BEED}" name="Imp. Sobr. Ing. Per 5% (9510.00-15000.00)" dataDxfId="456"/>
    <tableColumn id="17" xr3:uid="{9A2635D1-6A8A-4D58-B7DD-CE50AAACDCA8}" name="Salario a pagar" dataDxfId="455">
      <calculatedColumnFormula>Tabla5121314_316[[#This Row],[Sal. Dev]]-Tabla5121314_316[[#This Row],[Ausencias]]+Tabla5121314_316[[#This Row],[pago x vacaciones]]-Tabla5121314_316[[#This Row],[importe Seg Social]]-Tabla5121314_316[[#This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B327D41-50E6-4049-B262-49AD8452A746}" name="Tabla5121314_3417" displayName="Tabla5121314_3417" ref="A164:P180" totalsRowShown="0" headerRowDxfId="454" dataDxfId="452" headerRowBorderDxfId="453">
  <autoFilter ref="A164:P180" xr:uid="{00000000-0009-0000-0100-000003000000}"/>
  <tableColumns count="16">
    <tableColumn id="2" xr3:uid="{A929546D-544A-452A-817D-854CC90281FC}" name="No. Exp" dataDxfId="451"/>
    <tableColumn id="3" xr3:uid="{6E83A9CD-9FDA-4A7D-B6CD-4364E4BC4BB9}" name="Nombre y Apellido" dataDxfId="450">
      <calculatedColumnFormula>VLOOKUP(Tabla5121314_3417[[#This Row],[No. Exp]],Tabla6[],2)</calculatedColumnFormula>
    </tableColumn>
    <tableColumn id="4" xr3:uid="{CB481255-F9D0-4988-BFDF-D0EC9E8FF5AA}" name="C.I" dataDxfId="449">
      <calculatedColumnFormula>VLOOKUP(Tabla5121314_3417[[#This Row],[No. Exp]],Tabla6[],3)</calculatedColumnFormula>
    </tableColumn>
    <tableColumn id="5" xr3:uid="{EC475464-DADF-49AB-AB78-D101320F73C4}" name="Horas trabajadas" dataDxfId="448">
      <calculatedColumnFormula>#REF!</calculatedColumnFormula>
    </tableColumn>
    <tableColumn id="6" xr3:uid="{DA304B40-A27C-4BDA-9D10-3F2D5B7217BE}" name="Tarifas x Horas" dataDxfId="447">
      <calculatedColumnFormula>VLOOKUP(Tabla5121314_3417[[#This Row],[No. Exp]],Tabla6[],5)</calculatedColumnFormula>
    </tableColumn>
    <tableColumn id="7" xr3:uid="{ED85D364-55E6-4769-810A-F66B2D6AD64C}" name="A Cobrar" dataDxfId="446">
      <calculatedColumnFormula>ROUND(Tabla5121314_3417[[#This Row],[Horas trabajadas]]*Tabla5121314_3417[[#This Row],[Tarifas x Horas]],0)</calculatedColumnFormula>
    </tableColumn>
    <tableColumn id="8" xr3:uid="{9CCD09C2-686C-4B05-9F52-AE62D7EE8119}" name="Bonif" dataDxfId="445"/>
    <tableColumn id="9" xr3:uid="{D33DF36B-C831-46B0-A8A9-249E42E00050}" name="Sal. Dev" dataDxfId="444">
      <calculatedColumnFormula>Tabla5121314_3417[[#This Row],[A Cobrar]]+Tabla5121314_3417[[#This Row],[Bonif]]</calculatedColumnFormula>
    </tableColumn>
    <tableColumn id="11" xr3:uid="{D16C13EA-B841-490E-8E52-52B62D23B912}" name="Ausencias" dataDxfId="443"/>
    <tableColumn id="10" xr3:uid="{183D4506-21C4-4604-9B97-60EB633BD480}" name="Vacaciones" dataDxfId="442">
      <calculatedColumnFormula>'Submayor Vacaciones'!#REF!</calculatedColumnFormula>
    </tableColumn>
    <tableColumn id="15" xr3:uid="{7CAD9171-ADF7-4D75-A462-8CB12987EA45}" name="pago x vacaciones" dataDxfId="441">
      <calculatedColumnFormula>Tabla5121314_3417[[#This Row],[Sal. Dev]]/24*Tabla5121314_3417[[#This Row],[Vacaciones]]</calculatedColumnFormula>
    </tableColumn>
    <tableColumn id="13" xr3:uid="{6F4C6958-FD14-411A-B860-6913D90FCE67}" name="Salario Neto" dataDxfId="440">
      <calculatedColumnFormula>Tabla5121314_3417[[#This Row],[Sal. Dev]]-Tabla5121314_3417[[#This Row],[Ausencias]]</calculatedColumnFormula>
    </tableColumn>
    <tableColumn id="14" xr3:uid="{75D77DE3-F2E1-414F-90AD-481AA32576A9}" name="importe Seg Social" dataDxfId="439">
      <calculatedColumnFormula>5%*Tabla5121314_3417[[#This Row],[Salario Neto]]</calculatedColumnFormula>
    </tableColumn>
    <tableColumn id="16" xr3:uid="{4FAB1EC3-DA54-48C3-ADA1-9D419FD188DC}" name="Imp. Sobr. Ing. Per 3% (3260.00-9510.00)" dataDxfId="438">
      <calculatedColumnFormula>(9510-3260)*3%</calculatedColumnFormula>
    </tableColumn>
    <tableColumn id="1" xr3:uid="{AC6FB038-7082-4256-BE8D-383FADF9F195}" name="Imp. Sobr. Ing. Per 5% (9510.00-15000.00)" dataDxfId="437"/>
    <tableColumn id="17" xr3:uid="{61CAD382-46FD-4EB9-A714-042B03351CBE}" name="Salario a pagar" dataDxfId="436">
      <calculatedColumnFormula>Tabla5121314_3417[[#This Row],[Sal. Dev]]-Tabla5121314_3417[[#This Row],[Ausencias]]+Tabla5121314_3417[[#This Row],[pago x vacaciones]]-Tabla5121314_3417[[#This Row],[importe Seg Social]]-Tabla5121314_3417[[#This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7A9CA3D-7BA7-4607-92C4-D349D8ADEEC2}" name="Tabla5121314_34518" displayName="Tabla5121314_34518" ref="A207:P208" totalsRowShown="0" headerRowDxfId="435" dataDxfId="433" headerRowBorderDxfId="434">
  <autoFilter ref="A207:P208" xr:uid="{00000000-0009-0000-0100-000004000000}"/>
  <tableColumns count="16">
    <tableColumn id="2" xr3:uid="{B0E04545-7BA0-499C-9DD4-CAE21CFAD0F5}" name="No. Exp" dataDxfId="432"/>
    <tableColumn id="3" xr3:uid="{4A27F58D-B959-4BF7-9B9F-CFCFF7FA6CFF}" name="Nombre y Apellido" dataDxfId="431">
      <calculatedColumnFormula>VLOOKUP(Tabla5121314_34518[[#This Row],[No. Exp]],Tabla6[],2)</calculatedColumnFormula>
    </tableColumn>
    <tableColumn id="4" xr3:uid="{72F2E938-E21D-45C4-A048-5C8F8DF2CA3B}" name="C.I" dataDxfId="430">
      <calculatedColumnFormula>VLOOKUP(Tabla5121314_34518[[#This Row],[No. Exp]],Tabla6[],3)</calculatedColumnFormula>
    </tableColumn>
    <tableColumn id="5" xr3:uid="{017F4F2A-BEC4-41B1-A120-7A841E486DFA}" name="Horas trabajadas" dataDxfId="429">
      <calculatedColumnFormula>M204</calculatedColumnFormula>
    </tableColumn>
    <tableColumn id="6" xr3:uid="{19AC5CEC-9203-4CD0-B6B8-A7C61364F987}" name="Tarifas x Horas" dataDxfId="428">
      <calculatedColumnFormula>VLOOKUP(Tabla5121314_34518[[#This Row],[No. Exp]],Tabla6[],5)</calculatedColumnFormula>
    </tableColumn>
    <tableColumn id="7" xr3:uid="{A8C0CB9F-CAA7-4DF4-9DA3-222A0F50D588}" name="A Cobrar" dataDxfId="427">
      <calculatedColumnFormula>ROUND(Tabla5121314_34518[[#This Row],[Horas trabajadas]]*Tabla5121314_34518[[#This Row],[Tarifas x Horas]],0)</calculatedColumnFormula>
    </tableColumn>
    <tableColumn id="8" xr3:uid="{A5B2EA17-4871-41D9-BAC0-3156F2132750}" name="Bonif" dataDxfId="426"/>
    <tableColumn id="9" xr3:uid="{497B3A9E-2972-4A46-B134-761D72378A22}" name="Sal. Dev" dataDxfId="425">
      <calculatedColumnFormula>Tabla5121314_34518[[#This Row],[A Cobrar]]+Tabla5121314_34518[[#This Row],[Bonif]]</calculatedColumnFormula>
    </tableColumn>
    <tableColumn id="11" xr3:uid="{BB477271-43A9-4FEE-AF36-93566205D8D0}" name="Ausencias" dataDxfId="424"/>
    <tableColumn id="10" xr3:uid="{1F77D38B-F0EB-41B9-9157-CF73B5EA5C27}" name="Vacaciones" dataDxfId="423"/>
    <tableColumn id="13" xr3:uid="{2BACE70F-EE98-4723-A9C8-97CE9F66693D}" name="pago x vacaciones" dataDxfId="422">
      <calculatedColumnFormula array="1">MMULT(Tabla5121314_34518[[#This Row],[Tarifas x Horas]],8)*Tabla5121314_34518[[#This Row],[Vacaciones]]</calculatedColumnFormula>
    </tableColumn>
    <tableColumn id="14" xr3:uid="{02237C46-E097-4C08-909B-5351F4ACB147}" name="Salario Neto" dataDxfId="421">
      <calculatedColumnFormula>Tabla5121314_34518[[#This Row],[Sal. Dev]]-Tabla5121314_34518[[#This Row],[Ausencias]]</calculatedColumnFormula>
    </tableColumn>
    <tableColumn id="15" xr3:uid="{1D97C8D6-B095-4450-AD16-7D7919934D1F}" name="importe Seg Social" dataDxfId="420">
      <calculatedColumnFormula>5%*Tabla5121314_34518[[#This Row],[Salario Neto]]</calculatedColumnFormula>
    </tableColumn>
    <tableColumn id="16" xr3:uid="{EFC654B2-D4F9-443E-A068-3371432B405A}" name="Imp. Sobr. Ing. Per 3% (3260.00-9510.00)" dataDxfId="419"/>
    <tableColumn id="1" xr3:uid="{99CD4728-9FD7-4793-9681-C05A4AE366A6}" name="Imp. Sobr. Ing. Per 5% (9510.00-15000.00)" dataDxfId="418"/>
    <tableColumn id="17" xr3:uid="{461606F6-4BF3-4B0F-A069-A1F924C2E677}" name="Salario a pagar" dataDxfId="417">
      <calculatedColumnFormula>Tabla5121314_34518[[#This Row],[Sal. Dev]]-Tabla5121314_34518[[#This Row],[Ausencias]]+Tabla5121314_34518[[#This Row],[pago x vacaciones]]-Tabla5121314_34518[[#This Row],[importe Seg Social]]-Tabla5121314_34518[[#This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59D923-F6B1-4209-961D-35708FE84963}" name="Tabla5121314_345919" displayName="Tabla5121314_345919" ref="A192:P199" totalsRowShown="0" headerRowDxfId="416" dataDxfId="414" headerRowBorderDxfId="415">
  <autoFilter ref="A192:P199" xr:uid="{5466D56D-2757-4C30-A164-C713366DE637}"/>
  <tableColumns count="16">
    <tableColumn id="2" xr3:uid="{A61632F2-5AFF-4878-9AAD-A5A4183FE1E0}" name="No. Exp" dataDxfId="413"/>
    <tableColumn id="3" xr3:uid="{40917FA5-06AF-41D2-BA5F-328E74EEB42C}" name="Nombre y Apellido" dataDxfId="412">
      <calculatedColumnFormula>VLOOKUP(Tabla5121314_345919[[#This Row],[No. Exp]],Tabla6[],2)</calculatedColumnFormula>
    </tableColumn>
    <tableColumn id="4" xr3:uid="{3E4B6A59-B95C-4A70-988A-A067349039E0}" name="C.I" dataDxfId="411">
      <calculatedColumnFormula>VLOOKUP(Tabla5121314_345919[[#This Row],[No. Exp]],Tabla6[],3)</calculatedColumnFormula>
    </tableColumn>
    <tableColumn id="5" xr3:uid="{DE21DCD7-6FD2-41DC-BDD9-2945046296D6}" name="Horas trabajadas" dataDxfId="410">
      <calculatedColumnFormula>M189</calculatedColumnFormula>
    </tableColumn>
    <tableColumn id="6" xr3:uid="{63A8D205-6355-4C65-999B-E2682B4B0618}" name="Tarifas x Horas" dataDxfId="409">
      <calculatedColumnFormula>VLOOKUP(Tabla5121314_345919[[#This Row],[No. Exp]],Tabla6[],5)</calculatedColumnFormula>
    </tableColumn>
    <tableColumn id="7" xr3:uid="{C8EB4BFA-45B4-47EC-AC1B-5CA7493D6CD0}" name="A Cobrar" dataDxfId="408">
      <calculatedColumnFormula>ROUND(Tabla5121314_345919[[#This Row],[Horas trabajadas]]*Tabla5121314_345919[[#This Row],[Tarifas x Horas]],0)</calculatedColumnFormula>
    </tableColumn>
    <tableColumn id="8" xr3:uid="{26B368CC-788C-4D46-9380-67A8769A331C}" name="Bonif" dataDxfId="407"/>
    <tableColumn id="9" xr3:uid="{23F6F4DA-A85C-48D8-910C-9C3AE795C153}" name="Sal. Dev" dataDxfId="406">
      <calculatedColumnFormula>Tabla5121314_345919[[#This Row],[A Cobrar]]+Tabla5121314_345919[[#This Row],[Bonif]]</calculatedColumnFormula>
    </tableColumn>
    <tableColumn id="11" xr3:uid="{E6BCC251-E578-4052-BBFD-24E950AD1739}" name="Ausencias" dataDxfId="405"/>
    <tableColumn id="10" xr3:uid="{2F4532C0-75C9-46E0-9AD6-E961DE611DED}" name="Vacaciones" dataDxfId="404"/>
    <tableColumn id="13" xr3:uid="{87E2ED28-DA47-48C1-AD04-10B613854ADB}" name="pago x vacaciones" dataDxfId="403">
      <calculatedColumnFormula array="1">MMULT(Tabla5121314_345919[[#This Row],[Tarifas x Horas]],8)*Tabla5121314_345919[[#This Row],[Vacaciones]]</calculatedColumnFormula>
    </tableColumn>
    <tableColumn id="14" xr3:uid="{7C5AC671-1242-4A3B-AC37-08EC176119A8}" name="Salario Neto" dataDxfId="402">
      <calculatedColumnFormula>Tabla5121314_345919[[#This Row],[Sal. Dev]]-Tabla5121314_345919[[#This Row],[Ausencias]]+Tabla5121314_345919[[#This Row],[pago x vacaciones]]</calculatedColumnFormula>
    </tableColumn>
    <tableColumn id="15" xr3:uid="{EC5D6EE4-7AB9-4AC1-A5C9-A5559E200971}" name="importe Seg Social" dataDxfId="401">
      <calculatedColumnFormula>5%*Tabla5121314_345919[[#This Row],[Salario Neto]]</calculatedColumnFormula>
    </tableColumn>
    <tableColumn id="16" xr3:uid="{A74A011D-CF31-48FC-B8D6-72F3E0A73FC9}" name="Imp. Sobr. Ing. Per 3% (3260.00-9510.00)" dataDxfId="400"/>
    <tableColumn id="1" xr3:uid="{AD80FFB3-4EAF-4FBD-A004-657B1246E61A}" name="Imp. Sobr. Ing. Per 5% (9510.00-15000.00)" dataDxfId="399"/>
    <tableColumn id="17" xr3:uid="{2A2C8D75-6B04-4505-ADA9-4CE893CB3C52}" name="Salario a pagar" dataDxfId="398">
      <calculatedColumnFormula>Tabla5121314_345919[[#This Row],[Sal. Dev]]-Tabla5121314_345919[[#This Row],[Ausencias]]+Tabla5121314_345919[[#This Row],[pago x vacaciones]]-Tabla5121314_345919[[#This Row],[importe Seg Social]]-Tabla5121314_345919[[#This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1D75944-5B7B-4F13-90FA-9B7C2F4923C6}" name="Tabla5121314_3451820" displayName="Tabla5121314_3451820" ref="A220:P225" totalsRowShown="0" headerRowDxfId="397" dataDxfId="395" headerRowBorderDxfId="396">
  <autoFilter ref="A220:P225" xr:uid="{91D75944-5B7B-4F13-90FA-9B7C2F4923C6}"/>
  <tableColumns count="16">
    <tableColumn id="2" xr3:uid="{EE0DCF62-186B-46D6-9E94-62784AE8F9F1}" name="No. Exp" dataDxfId="394"/>
    <tableColumn id="3" xr3:uid="{3B9885BE-2DFF-47A9-8DE6-FD487B6D4D5B}" name="Nombre y Apellido" dataDxfId="393">
      <calculatedColumnFormula>VLOOKUP(Tabla5121314_3451820[[#This Row],[No. Exp]],Tabla6[],2)</calculatedColumnFormula>
    </tableColumn>
    <tableColumn id="4" xr3:uid="{7065C097-E577-4D89-BD7A-625B57E67999}" name="C.I" dataDxfId="392">
      <calculatedColumnFormula>VLOOKUP(Tabla5121314_3451820[[#This Row],[No. Exp]],Tabla6[],3)</calculatedColumnFormula>
    </tableColumn>
    <tableColumn id="5" xr3:uid="{4BA3F406-83F0-4675-94B1-DA12714D8407}" name="Horas trabajadas" dataDxfId="391">
      <calculatedColumnFormula>M217</calculatedColumnFormula>
    </tableColumn>
    <tableColumn id="6" xr3:uid="{5D0F4EF5-DBEC-46EB-A1AB-824D4370AA9C}" name="Tarifas x Horas" dataDxfId="390">
      <calculatedColumnFormula>VLOOKUP(Tabla5121314_3451820[[#This Row],[No. Exp]],Tabla6[],5)</calculatedColumnFormula>
    </tableColumn>
    <tableColumn id="7" xr3:uid="{AE53D621-D366-4714-9914-1071DED9458A}" name="A Cobrar" dataDxfId="389">
      <calculatedColumnFormula>ROUND(Tabla5121314_3451820[[#This Row],[Horas trabajadas]]*Tabla5121314_3451820[[#This Row],[Tarifas x Horas]],0)</calculatedColumnFormula>
    </tableColumn>
    <tableColumn id="8" xr3:uid="{E0BE0B6B-8A32-40A1-9753-9F8B09A7482F}" name="Bonif" dataDxfId="388"/>
    <tableColumn id="9" xr3:uid="{C1FBFE2D-6504-4D2F-BE43-5B63E613C1BD}" name="Sal. Dev" dataDxfId="387">
      <calculatedColumnFormula>Tabla5121314_3451820[[#This Row],[A Cobrar]]+Tabla5121314_3451820[[#This Row],[Bonif]]</calculatedColumnFormula>
    </tableColumn>
    <tableColumn id="11" xr3:uid="{D7862E29-F354-4967-AB45-8618F6D568DD}" name="Ausencias" dataDxfId="386"/>
    <tableColumn id="10" xr3:uid="{02935CC2-A2A7-444B-AAAC-537484FF3C7B}" name="Vacaciones" dataDxfId="385"/>
    <tableColumn id="13" xr3:uid="{7EA6D857-7DE8-4355-8AF1-B8C99B1C131D}" name="pago x vacaciones" dataDxfId="384">
      <calculatedColumnFormula array="1">MMULT(Tabla5121314_3451820[[#This Row],[Tarifas x Horas]],8)*Tabla5121314_3451820[[#This Row],[Vacaciones]]</calculatedColumnFormula>
    </tableColumn>
    <tableColumn id="14" xr3:uid="{7DDEE1E9-A779-4C58-B740-5650708DEC63}" name="Salario Neto" dataDxfId="383">
      <calculatedColumnFormula>Tabla5121314_3451820[[#This Row],[Sal. Dev]]-Tabla5121314_3451820[[#This Row],[Ausencias]]</calculatedColumnFormula>
    </tableColumn>
    <tableColumn id="15" xr3:uid="{D2E2AA02-0797-4256-B692-810F6259D65E}" name="importe Seg Social" dataDxfId="382">
      <calculatedColumnFormula>5%*Tabla5121314_3451820[[#This Row],[Salario Neto]]</calculatedColumnFormula>
    </tableColumn>
    <tableColumn id="16" xr3:uid="{9425D533-25C5-4AEC-A7F0-4A03A1027C12}" name="Imp. Sobr. Ing. Per 3% (3260.00-9510.00)" dataDxfId="381"/>
    <tableColumn id="1" xr3:uid="{65D931F7-3741-4CAD-B0DF-90EE91D2383F}" name="Imp. Sobr. Ing. Per 5% (9510.00-15000.00)" dataDxfId="380"/>
    <tableColumn id="17" xr3:uid="{64ECAFE7-03B8-4C70-940C-686DEF494F22}" name="Salario a pagar" dataDxfId="379">
      <calculatedColumnFormula>Tabla5121314_3451820[[#This Row],[Sal. Dev]]-Tabla5121314_3451820[[#This Row],[Ausencias]]+Tabla5121314_3451820[[#This Row],[pago x vacaciones]]-Tabla5121314_3451820[[#This Row],[importe Seg Social]]-Tabla5121314_3451820[[#This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FB49C40-1FD5-4BC2-A1F7-6AF9E89DD381}" name="Tabla5221" displayName="Tabla5221" ref="A10:P16" totalsRowShown="0" headerRowDxfId="378" dataDxfId="376" headerRowBorderDxfId="377" tableBorderDxfId="375">
  <autoFilter ref="A10:P16" xr:uid="{00000000-0009-0000-0100-000005000000}"/>
  <tableColumns count="16">
    <tableColumn id="2" xr3:uid="{762FB4F6-D2F8-4104-8E9C-D3202D0E4B65}" name="No. Exp" dataDxfId="374"/>
    <tableColumn id="3" xr3:uid="{7F01634E-05F2-44DC-A11D-10DEFFAC3BD7}" name="Nombre y Apellido" dataDxfId="373">
      <calculatedColumnFormula>VLOOKUP(Tabla5221[[#This Row],[No. Exp]],Tabla6[],2)</calculatedColumnFormula>
    </tableColumn>
    <tableColumn id="14" xr3:uid="{8DD8C73E-D49E-4BCF-9CFB-9C7C51AF60F4}" name="C.I" dataDxfId="372">
      <calculatedColumnFormula>VLOOKUP(Tabla5221[[#This Row],[No. Exp]],Tabla6[],3)</calculatedColumnFormula>
    </tableColumn>
    <tableColumn id="4" xr3:uid="{9BEC5FEB-CC6D-44C8-B1DD-2F3F8673E497}" name="Horas Trabajadas" dataDxfId="371">
      <calculatedColumnFormula>#REF!</calculatedColumnFormula>
    </tableColumn>
    <tableColumn id="5" xr3:uid="{BEDCE14C-F859-4C43-8330-F0A72AE8047D}" name="Tarifas por Horas" dataDxfId="370">
      <calculatedColumnFormula>VLOOKUP(Tabla5221[[#This Row],[No. Exp]],Tabla6[],5)</calculatedColumnFormula>
    </tableColumn>
    <tableColumn id="6" xr3:uid="{1E48CD45-1361-499E-AC9A-252AD1FB4743}" name="Salario Básico" dataDxfId="369">
      <calculatedColumnFormula>ROUND(Tabla5221[[#This Row],[Horas Trabajadas]]*Tabla5221[[#This Row],[Tarifas por Horas]],0)</calculatedColumnFormula>
    </tableColumn>
    <tableColumn id="7" xr3:uid="{AFD50DD4-9D6C-4929-ABF4-37E137BDE2A4}" name="Bonif" dataDxfId="368"/>
    <tableColumn id="9" xr3:uid="{9AFD5507-2FB8-478D-8482-29D87DF156E2}" name="Sal. Dev" dataDxfId="367">
      <calculatedColumnFormula>Tabla5221[[#This Row],[Salario Básico]]+Tabla5221[[#This Row],[Bonif]]</calculatedColumnFormula>
    </tableColumn>
    <tableColumn id="16" xr3:uid="{8B7811C9-29CF-4DC6-9479-2CE18FC62DF1}" name="Ausencias" dataDxfId="366">
      <calculatedColumnFormula>E7</calculatedColumnFormula>
    </tableColumn>
    <tableColumn id="8" xr3:uid="{304F06F9-19C9-4901-9162-A99A1829C92E}" name="Vacaciones" dataDxfId="365">
      <calculatedColumnFormula>'Submayor Vacaciones'!#REF!</calculatedColumnFormula>
    </tableColumn>
    <tableColumn id="12" xr3:uid="{DCD53B89-202F-46D5-A097-4FB47EBC105E}" name="pago x vacaciones" dataDxfId="364">
      <calculatedColumnFormula>Tabla5221[[#This Row],[Sal. Dev]]/24*Tabla5221[[#This Row],[Vacaciones]]</calculatedColumnFormula>
    </tableColumn>
    <tableColumn id="15" xr3:uid="{BADC317C-04A9-42AE-9960-0B098F090DA1}" name="Salario Neto" dataDxfId="363">
      <calculatedColumnFormula>Tabla5221[[#This Row],[Sal. Dev]]-Tabla5221[[#This Row],[Ausencias]]+Tabla5221[[#This Row],[pago x vacaciones]]</calculatedColumnFormula>
    </tableColumn>
    <tableColumn id="13" xr3:uid="{2B03CA35-9121-40FD-B9F4-C75A8BF00EA4}" name="importe Seg Social" dataDxfId="362">
      <calculatedColumnFormula>5%*Tabla5221[[#This Row],[Salario Neto]]</calculatedColumnFormula>
    </tableColumn>
    <tableColumn id="11" xr3:uid="{9D82F009-FAD0-4338-847E-ADF2154F173B}" name="Imp. Sobr. Ing. Per 3% (3260.00-9510.00)" dataDxfId="361">
      <calculatedColumnFormula>(9510-3260)*3%</calculatedColumnFormula>
    </tableColumn>
    <tableColumn id="1" xr3:uid="{BEB38E5C-9AB3-4A17-8C53-3932E52B189B}" name="Imp. Sobr. Ing. Per 5% (9510.00-15000.00)" dataDxfId="360">
      <calculatedColumnFormula>(Tabla5221[[#This Row],[Salario Neto]]-9510)*5%</calculatedColumnFormula>
    </tableColumn>
    <tableColumn id="17" xr3:uid="{3809B670-741D-4C33-98AC-CB4D2F25E908}" name="Salario a pagar" dataDxfId="359">
      <calculatedColumnFormula>Tabla5221[[#This Row],[Sal. Dev]]-Tabla5221[[#This Row],[Ausencias]]+Tabla5221[[#This Row],[pago x vacaciones]]-Tabla5221[[#This Row],[importe Seg Social]]-Tabla5221[[#This Row],[Imp. Sobr. Ing. Per 3% (3260.00-9510.00)]]-Tabla5221[[#This Row],[Imp. Sobr. Ing. Per 5% (9510.00-15000.00)]]</calculatedColumnFormula>
    </tableColumn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6C79831-D47B-4496-9E14-D8DB2EB265D9}" name="Tabla5121022" displayName="Tabla5121022" ref="A28:P52" totalsRowShown="0" headerRowDxfId="358" dataDxfId="356" headerRowBorderDxfId="357" tableBorderDxfId="355">
  <autoFilter ref="A28:P52" xr:uid="{00000000-0009-0000-0100-00000B000000}"/>
  <tableColumns count="16">
    <tableColumn id="2" xr3:uid="{C20A91B0-DA57-4F7A-A782-22419191BECB}" name="No. Exp" dataDxfId="354"/>
    <tableColumn id="3" xr3:uid="{91A3A687-9A58-4674-AD0C-96D142212DB9}" name="Nombre y Apellido" dataDxfId="353">
      <calculatedColumnFormula>VLOOKUP(Tabla5121022[[#This Row],[No. Exp]],Tabla6[],2)</calculatedColumnFormula>
    </tableColumn>
    <tableColumn id="14" xr3:uid="{E7F270AC-6952-4B38-8F93-788EFE4C8D84}" name="C.I" dataDxfId="352">
      <calculatedColumnFormula>VLOOKUP(Tabla5121022[[#This Row],[No. Exp]],Tabla6[],3)</calculatedColumnFormula>
    </tableColumn>
    <tableColumn id="4" xr3:uid="{7B134DA6-2075-4AA3-9D44-E795D5BF9958}" name="Horas Trabajadas" dataDxfId="351">
      <calculatedColumnFormula>#REF!</calculatedColumnFormula>
    </tableColumn>
    <tableColumn id="5" xr3:uid="{5F83B75D-F9F5-4C4D-AE06-327C663B2C78}" name="Tarifas x horas " dataDxfId="350">
      <calculatedColumnFormula>VLOOKUP(Tabla5121022[[#This Row],[No. Exp]],Tabla6[],5)</calculatedColumnFormula>
    </tableColumn>
    <tableColumn id="6" xr3:uid="{E72E250F-961D-4B7D-8687-1809C0A8D6EB}" name="Salario Básico" dataDxfId="349">
      <calculatedColumnFormula>ROUND(Tabla5121022[[#This Row],[Horas Trabajadas]]*Tabla5121022[[#This Row],[Tarifas x horas ]],0)</calculatedColumnFormula>
    </tableColumn>
    <tableColumn id="7" xr3:uid="{4D05ABFC-C2B2-411E-B131-FA9DC970B66F}" name="Bonif" dataDxfId="348"/>
    <tableColumn id="9" xr3:uid="{B3DA944F-90BC-4614-9716-03F119A77DE9}" name="Sal. Dev" dataDxfId="347">
      <calculatedColumnFormula>Tabla5121022[[#This Row],[Salario Básico]]+Tabla5121022[[#This Row],[Bonif]]</calculatedColumnFormula>
    </tableColumn>
    <tableColumn id="16" xr3:uid="{936BCA8E-6DB5-42A1-B50B-E2BAF13CD575}" name="Ausencias" dataDxfId="346"/>
    <tableColumn id="8" xr3:uid="{6F127A50-FA20-4B73-B264-596CC376F0D9}" name="Vacaciones" dataDxfId="345">
      <calculatedColumnFormula>'Submayor Vacaciones'!#REF!</calculatedColumnFormula>
    </tableColumn>
    <tableColumn id="12" xr3:uid="{BDFD6647-ADF6-4674-9634-11BE348E2C1E}" name="pago x Vacaciones" dataDxfId="344">
      <calculatedColumnFormula>Tabla5121022[[#This Row],[Sal. Dev]]/24*Tabla5121022[[#This Row],[Vacaciones]]</calculatedColumnFormula>
    </tableColumn>
    <tableColumn id="10" xr3:uid="{86EC8144-9CFE-453E-B2B0-7DBA586CAD75}" name="Salario Neto" dataDxfId="343">
      <calculatedColumnFormula>Tabla5121022[[#This Row],[Sal. Dev]]-Tabla5121022[[#This Row],[Ausencias]]+Tabla5121022[[#This Row],[pago x Vacaciones]]</calculatedColumnFormula>
    </tableColumn>
    <tableColumn id="11" xr3:uid="{8719DFB2-4B15-4D9C-A0F8-39F4AA46C05D}" name="importe Seg Social" dataDxfId="342">
      <calculatedColumnFormula>5%*Tabla5121022[[#This Row],[Salario Neto]]</calculatedColumnFormula>
    </tableColumn>
    <tableColumn id="13" xr3:uid="{984863E1-0A74-4F1D-B509-D3CF804822AD}" name="Imp. Sobr. Ing. Per 3% (3260.00-9510.00)" dataDxfId="341">
      <calculatedColumnFormula>(9510-3260)*3%</calculatedColumnFormula>
    </tableColumn>
    <tableColumn id="1" xr3:uid="{D520BD62-8502-4622-BFA4-A5DE9D3D38B1}" name="Imp. Sobr. Ing. Per 5% (9510.00-15000.00)" dataDxfId="340"/>
    <tableColumn id="15" xr3:uid="{C182B3AA-FAA9-4A44-959F-DEC426A8227D}" name="Salario a pagar" dataDxfId="339">
      <calculatedColumnFormula>Tabla5121022[[#This Row],[Sal. Dev]]-Tabla5121022[[#This Row],[Ausencias]]+Tabla5121022[[#This Row],[pago x Vacaciones]]-Tabla5121022[[#This Row],[importe Seg Social]]-Tabla5121022[[#This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EC5B8AC-C686-40DA-A1D2-0664D6E22D71}" name="Tabla512131123" displayName="Tabla512131123" ref="A73:P88" totalsRowShown="0" headerRowDxfId="338" dataDxfId="336" headerRowBorderDxfId="337" tableBorderDxfId="335">
  <autoFilter ref="A73:P88" xr:uid="{00000000-0009-0000-0100-00000C000000}"/>
  <tableColumns count="16">
    <tableColumn id="2" xr3:uid="{291F1802-5E63-436D-AC7B-55E48122FDB5}" name="No. Exp" dataDxfId="334"/>
    <tableColumn id="3" xr3:uid="{7138C30A-5AD1-4459-BB78-CCFF4388940E}" name="Nombre y Apellido" dataDxfId="333">
      <calculatedColumnFormula>VLOOKUP(Tabla512131123[[#This Row],[No. Exp]],Tabla6[],2)</calculatedColumnFormula>
    </tableColumn>
    <tableColumn id="14" xr3:uid="{686DB30F-E99D-4290-9179-8BFC867F1AFC}" name="C.I" dataDxfId="332">
      <calculatedColumnFormula>VLOOKUP(Tabla512131123[[#This Row],[No. Exp]],Tabla6[],3)</calculatedColumnFormula>
    </tableColumn>
    <tableColumn id="4" xr3:uid="{97EA9A73-249F-4151-8138-7B408DF0E0D8}" name="Horas Trabajadas" dataDxfId="331">
      <calculatedColumnFormula>#REF!</calculatedColumnFormula>
    </tableColumn>
    <tableColumn id="5" xr3:uid="{D2961B87-633C-4A57-9A61-CFDD7346C6D4}" name="Tarifas por horas" dataDxfId="330">
      <calculatedColumnFormula>VLOOKUP(Tabla512131123[[#This Row],[No. Exp]],Tabla6[],5)</calculatedColumnFormula>
    </tableColumn>
    <tableColumn id="6" xr3:uid="{72B978FF-4B94-4EFE-B2C7-6AAAC1446E55}" name="Salario Básico" dataDxfId="329">
      <calculatedColumnFormula>ROUND(Tabla512131123[[#This Row],[Horas Trabajadas]]*Tabla512131123[[#This Row],[Tarifas por horas]],0)</calculatedColumnFormula>
    </tableColumn>
    <tableColumn id="7" xr3:uid="{BF58C9A2-CAA3-4376-846A-DC296E8DD652}" name="Bonif" dataDxfId="328"/>
    <tableColumn id="9" xr3:uid="{8C42F2FD-41EC-41FB-8CCE-1CC285D01CF0}" name="Sal. Dev" dataDxfId="327">
      <calculatedColumnFormula>Tabla512131123[[#This Row],[Salario Básico]]+Tabla512131123[[#This Row],[Bonif]]</calculatedColumnFormula>
    </tableColumn>
    <tableColumn id="16" xr3:uid="{9415D691-912B-4A23-9730-68CA8D9FB56F}" name="Ausencias" dataDxfId="326"/>
    <tableColumn id="8" xr3:uid="{4BFFAB17-886C-4B42-A71C-76845ED78E28}" name="Vacaciones" dataDxfId="325">
      <calculatedColumnFormula>'Submayor Vacaciones'!#REF!</calculatedColumnFormula>
    </tableColumn>
    <tableColumn id="12" xr3:uid="{6933D7AC-E813-4B89-966E-85EE26C08865}" name="pago x vacaciones" dataDxfId="324">
      <calculatedColumnFormula array="1">MMULT(Tabla512131123[[#This Row],[Tarifas por horas]],8)*Tabla512131123[[#This Row],[Vacaciones]]</calculatedColumnFormula>
    </tableColumn>
    <tableColumn id="10" xr3:uid="{F4AACB4A-C69A-452F-A99C-84EC85860D09}" name="Salario Neto" dataDxfId="323">
      <calculatedColumnFormula>Tabla512131123[[#This Row],[Sal. Dev]]-Tabla512131123[[#This Row],[Ausencias]]+Tabla512131123[[#This Row],[pago x vacaciones]]</calculatedColumnFormula>
    </tableColumn>
    <tableColumn id="11" xr3:uid="{0AA8B63E-9986-4B43-82C6-0DD64D38761B}" name="importe Seg Social" dataDxfId="322">
      <calculatedColumnFormula>5%*Tabla512131123[[#This Row],[Salario Neto]]</calculatedColumnFormula>
    </tableColumn>
    <tableColumn id="13" xr3:uid="{0E975978-87EC-4507-9324-79657A27C070}" name="Imp. Sobr. Ing. Per 3% (3260.00-9510.00)" dataDxfId="321">
      <calculatedColumnFormula>(9510-3260)*3%</calculatedColumnFormula>
    </tableColumn>
    <tableColumn id="1" xr3:uid="{3604D296-DFCC-4610-85A3-6204C153FE96}" name="Imp. Sobr. Ing. Per 5% (9510.00-15000.00)" dataDxfId="320"/>
    <tableColumn id="15" xr3:uid="{79D8ACE7-904C-4EC8-A075-B1B4312F3E0B}" name="Salario a pagar" dataDxfId="319">
      <calculatedColumnFormula>Tabla512131123[[#This Row],[Sal. Dev]]-Tabla512131123[[#This Row],[Ausencias]]+Tabla512131123[[#This Row],[pago x vacaciones]]-Tabla512131123[[#This Row],[importe Seg Social]]-Tabla512131123[[#This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91FD3CE-FEBF-4E99-ADD1-BF97D1A1E658}" name="Tabla51213141524" displayName="Tabla51213141524" ref="A105:P109" totalsRowShown="0" headerRowDxfId="318" dataDxfId="316" headerRowBorderDxfId="317">
  <autoFilter ref="A105:P109" xr:uid="{00000000-0009-0000-0100-00000D000000}"/>
  <tableColumns count="16">
    <tableColumn id="2" xr3:uid="{343E88D4-B1F0-4456-82E3-54F84D697521}" name="No. Exp" dataDxfId="315"/>
    <tableColumn id="3" xr3:uid="{5843AE38-9BB5-43BA-802F-F2EFE247741D}" name="Nombre y Apellido" dataDxfId="314">
      <calculatedColumnFormula>VLOOKUP(Tabla51213141524[[#This Row],[No. Exp]],Tabla6[],2)</calculatedColumnFormula>
    </tableColumn>
    <tableColumn id="14" xr3:uid="{10A858C5-EFEB-40AD-81CD-B01247774559}" name="C.I" dataDxfId="313">
      <calculatedColumnFormula>VLOOKUP(Tabla51213141524[[#This Row],[No. Exp]],Tabla6[],3)</calculatedColumnFormula>
    </tableColumn>
    <tableColumn id="4" xr3:uid="{9CAE42E2-5076-4548-9A2E-483D3FBA3E3D}" name="Horas Trabajadas" dataDxfId="312">
      <calculatedColumnFormula>#REF!</calculatedColumnFormula>
    </tableColumn>
    <tableColumn id="5" xr3:uid="{FA8AA0FA-EF4E-4FC7-B7BA-F9383515BBF6}" name="Tarifas x horas" dataDxfId="311">
      <calculatedColumnFormula>VLOOKUP(Tabla51213141524[[#This Row],[No. Exp]],Tabla6[],5)</calculatedColumnFormula>
    </tableColumn>
    <tableColumn id="6" xr3:uid="{A70D72C8-B7EB-4533-90D5-E3A7F15C240A}" name="A Cobrar" dataDxfId="310">
      <calculatedColumnFormula>ROUND(Tabla51213141524[[#This Row],[Horas Trabajadas]]*Tabla51213141524[[#This Row],[Tarifas x horas]],0)</calculatedColumnFormula>
    </tableColumn>
    <tableColumn id="7" xr3:uid="{58D78C44-879E-4FD0-9457-0E8C18CDD084}" name="Bonif" dataDxfId="309"/>
    <tableColumn id="9" xr3:uid="{15A799DF-7416-4093-8F28-447FD0BE78BF}" name="Sal. Dev" dataDxfId="308">
      <calculatedColumnFormula>Tabla51213141524[[#This Row],[A Cobrar]]+Tabla51213141524[[#This Row],[Bonif]]</calculatedColumnFormula>
    </tableColumn>
    <tableColumn id="16" xr3:uid="{5A82C025-7DFB-4101-A14D-FA2F13C9CADA}" name="Ausencias" dataDxfId="307"/>
    <tableColumn id="8" xr3:uid="{6B854F79-06E8-4595-A55D-593A7AEB612E}" name="Vacaciones" dataDxfId="306"/>
    <tableColumn id="12" xr3:uid="{6A33A814-5AFE-4786-AC82-DDA05A3FA26B}" name="pago x vacaciones" dataDxfId="305">
      <calculatedColumnFormula array="1">MMULT(Tabla51213141524[[#This Row],[Tarifas x horas]],8)*Tabla51213141524[[#This Row],[Vacaciones]]</calculatedColumnFormula>
    </tableColumn>
    <tableColumn id="10" xr3:uid="{50B755C0-B34B-4836-B419-82719583F612}" name="Salario Neto" dataDxfId="304">
      <calculatedColumnFormula>Tabla51213141524[[#This Row],[Sal. Dev]]-Tabla51213141524[[#This Row],[Ausencias]]+Tabla51213141524[[#This Row],[pago x vacaciones]]</calculatedColumnFormula>
    </tableColumn>
    <tableColumn id="11" xr3:uid="{2652FCD9-3160-47D0-A424-65F7DF7CDC88}" name="importe Seg Social" dataDxfId="303">
      <calculatedColumnFormula>5%*Tabla51213141524[[#This Row],[Salario Neto]]</calculatedColumnFormula>
    </tableColumn>
    <tableColumn id="13" xr3:uid="{D002D297-1860-4D2B-85E7-0D567EB71CA9}" name="Imp. Sobr. Ing. Per 3% (3260.00-9510.00)" dataDxfId="302">
      <calculatedColumnFormula>(9510-3260)*3%</calculatedColumnFormula>
    </tableColumn>
    <tableColumn id="1" xr3:uid="{3F5A490B-3B83-4521-A79A-B0C0046057A4}" name="Imp. Sobr. Ing. Per 5% (9510.00-15000.00)" dataDxfId="301"/>
    <tableColumn id="15" xr3:uid="{27D4F68F-100C-4BD2-9102-D18A1CD332AA}" name="Salario a pagar" dataDxfId="300">
      <calculatedColumnFormula>Tabla51213141524[[#This Row],[Sal. Dev]]-Tabla51213141524[[#This Row],[Ausencias]]+Tabla51213141524[[#This Row],[pago x vacaciones]]-Tabla51213141524[[#This Row],[importe Seg Social]]-Tabla51213141524[[#This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7A5B26F-978E-47FD-B842-2EE935B7A672}" name="Tabla5121314_31625" displayName="Tabla5121314_31625" ref="A128:P144" totalsRowShown="0" headerRowDxfId="299" dataDxfId="297" headerRowBorderDxfId="298" tableBorderDxfId="296">
  <autoFilter ref="A128:P144" xr:uid="{00000000-0009-0000-0100-000002000000}"/>
  <tableColumns count="16">
    <tableColumn id="2" xr3:uid="{68FE3378-FDCE-4415-8FAA-C6D8943564B4}" name="No. Exp" dataDxfId="295"/>
    <tableColumn id="3" xr3:uid="{95FBAC77-93C2-451B-9CF0-206E72A8B4BC}" name="Nombre y Apellido" dataDxfId="294">
      <calculatedColumnFormula>VLOOKUP(Tabla5121314_31625[[#This Row],[No. Exp]],Tabla6[],2)</calculatedColumnFormula>
    </tableColumn>
    <tableColumn id="4" xr3:uid="{05CC1038-CEA9-4B5F-80BF-DCD48423952B}" name="C.I" dataDxfId="293">
      <calculatedColumnFormula>VLOOKUP(Tabla5121314_31625[[#This Row],[No. Exp]],Tabla6[],3)</calculatedColumnFormula>
    </tableColumn>
    <tableColumn id="5" xr3:uid="{9001DB72-A4B8-4445-B3D6-7B57C5C8DF3B}" name="Horas trabajadas" dataDxfId="292">
      <calculatedColumnFormula>#REF!</calculatedColumnFormula>
    </tableColumn>
    <tableColumn id="6" xr3:uid="{F47DB066-93EF-4599-8C16-BF6FFFAA37CF}" name="Tarifas x horas" dataDxfId="291">
      <calculatedColumnFormula>VLOOKUP(Tabla5121314_31625[[#This Row],[No. Exp]],Tabla6[],5)</calculatedColumnFormula>
    </tableColumn>
    <tableColumn id="7" xr3:uid="{C108DA45-4795-4684-BE50-2D50D1E89330}" name="A Cobrar" dataDxfId="290">
      <calculatedColumnFormula>ROUND(Tabla5121314_31625[[#This Row],[Horas trabajadas]]*Tabla5121314_31625[[#This Row],[Tarifas x horas]],0)</calculatedColumnFormula>
    </tableColumn>
    <tableColumn id="8" xr3:uid="{D7D4016F-D2BE-4475-AA19-FCD8C6279AC1}" name="Bonif" dataDxfId="289"/>
    <tableColumn id="9" xr3:uid="{35DE33EA-0820-4390-8AA4-2BE090EC9DE1}" name="Sal. Dev" dataDxfId="288">
      <calculatedColumnFormula>Tabla5121314_31625[[#This Row],[A Cobrar]]+Tabla5121314_31625[[#This Row],[Bonif]]</calculatedColumnFormula>
    </tableColumn>
    <tableColumn id="11" xr3:uid="{8577262A-3957-4C0B-9EE8-E625F406E4E3}" name="Ausencias" dataDxfId="287"/>
    <tableColumn id="10" xr3:uid="{E46D5696-C041-476E-90D6-44A929F9F5E5}" name="Vacaciones" dataDxfId="286">
      <calculatedColumnFormula>'Submayor Vacaciones'!#REF!</calculatedColumnFormula>
    </tableColumn>
    <tableColumn id="15" xr3:uid="{6B0905A4-5736-4AF6-9FE6-E718E647F395}" name="pago x vacaciones" dataDxfId="285">
      <calculatedColumnFormula array="1">MMULT(Tabla5121314_31625[[#This Row],[Tarifas x horas]],8)*Tabla5121314_31625[[#This Row],[Vacaciones]]</calculatedColumnFormula>
    </tableColumn>
    <tableColumn id="13" xr3:uid="{E6F5726B-9B08-432C-A43B-99CCDAE0CDD6}" name="Salario Neto" dataDxfId="284">
      <calculatedColumnFormula>Tabla5121314_31625[[#This Row],[Sal. Dev]]-Tabla5121314_31625[[#This Row],[Ausencias]]+Tabla5121314_31625[[#This Row],[pago x vacaciones]]</calculatedColumnFormula>
    </tableColumn>
    <tableColumn id="14" xr3:uid="{155E0907-DB50-4CCC-904F-0E685799B9F0}" name="importe Seg Social" dataDxfId="283">
      <calculatedColumnFormula>5%*Tabla5121314_31625[[#This Row],[Salario Neto]]</calculatedColumnFormula>
    </tableColumn>
    <tableColumn id="16" xr3:uid="{9BA50987-3126-455C-AB27-1DF4965C6945}" name="Imp. Sobr. Ing. Per 3% (3260.00-9510.00)" dataDxfId="282">
      <calculatedColumnFormula>(9510-3260)*3%</calculatedColumnFormula>
    </tableColumn>
    <tableColumn id="1" xr3:uid="{9AB5570E-C370-4619-A83C-020037DE5A51}" name="Imp. Sobr. Ing. Per 5% (9510.00-15000.00)" dataDxfId="281"/>
    <tableColumn id="17" xr3:uid="{BD3B3715-3624-4A43-95B7-3072D1FE1CDE}" name="Salario a pagar" dataDxfId="280">
      <calculatedColumnFormula>Tabla5121314_31625[[#This Row],[Sal. Dev]]-Tabla5121314_31625[[#This Row],[Ausencias]]+Tabla5121314_31625[[#This Row],[pago x vacaciones]]-Tabla5121314_31625[[#This Row],[importe Seg Social]]-Tabla5121314_31625[[#This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CDDA64C-E1DE-4FA1-BE61-A068894C72C2}" name="Tabla5121314_341726" displayName="Tabla5121314_341726" ref="A159:P174" totalsRowShown="0" headerRowDxfId="279" dataDxfId="277" headerRowBorderDxfId="278">
  <autoFilter ref="A159:P174" xr:uid="{00000000-0009-0000-0100-000003000000}"/>
  <tableColumns count="16">
    <tableColumn id="2" xr3:uid="{7C3B1AA3-9D8D-4A3B-A2AF-5C941AFB9FD4}" name="No. Exp" dataDxfId="276"/>
    <tableColumn id="3" xr3:uid="{882E7397-7F8F-451D-9E9C-A0881BC3479A}" name="Nombre y Apellido" dataDxfId="275">
      <calculatedColumnFormula>VLOOKUP(Tabla5121314_341726[[#This Row],[No. Exp]],Tabla6[],2)</calculatedColumnFormula>
    </tableColumn>
    <tableColumn id="4" xr3:uid="{B2875996-1F69-438F-A450-20D975E32A73}" name="C.I" dataDxfId="274">
      <calculatedColumnFormula>VLOOKUP(Tabla5121314_341726[[#This Row],[No. Exp]],Tabla6[],3)</calculatedColumnFormula>
    </tableColumn>
    <tableColumn id="5" xr3:uid="{875F2A89-4787-4F80-AE85-87041559EDFA}" name="Horas trabajadas" dataDxfId="273">
      <calculatedColumnFormula>#REF!</calculatedColumnFormula>
    </tableColumn>
    <tableColumn id="6" xr3:uid="{729DC55C-C293-4B3A-AA1E-498B81DC2893}" name="Tarifas x Horas" dataDxfId="272">
      <calculatedColumnFormula>VLOOKUP(Tabla5121314_341726[[#This Row],[No. Exp]],Tabla6[],5)</calculatedColumnFormula>
    </tableColumn>
    <tableColumn id="7" xr3:uid="{3C04E671-DB0E-4DFA-88E0-706F96501AFD}" name="A Cobrar" dataDxfId="271">
      <calculatedColumnFormula>ROUND(Tabla5121314_341726[[#This Row],[Horas trabajadas]]*Tabla5121314_341726[[#This Row],[Tarifas x Horas]],0)</calculatedColumnFormula>
    </tableColumn>
    <tableColumn id="8" xr3:uid="{2490B249-47F5-4C2B-B54F-13556BD121A6}" name="Bonif" dataDxfId="270"/>
    <tableColumn id="9" xr3:uid="{9F3999AF-68C3-4B4A-B27F-8F98172AD307}" name="Sal. Dev" dataDxfId="269">
      <calculatedColumnFormula>Tabla5121314_341726[[#This Row],[A Cobrar]]+Tabla5121314_341726[[#This Row],[Bonif]]</calculatedColumnFormula>
    </tableColumn>
    <tableColumn id="11" xr3:uid="{10CEC89B-AB62-4451-A532-AB36F9B98FA0}" name="Ausencias" dataDxfId="268"/>
    <tableColumn id="10" xr3:uid="{D732A36F-532C-436D-A6A0-692D2048D221}" name="Vacaciones" dataDxfId="267">
      <calculatedColumnFormula>'Submayor Vacaciones'!#REF!</calculatedColumnFormula>
    </tableColumn>
    <tableColumn id="15" xr3:uid="{3A9CF36B-DB25-4B89-9DB9-7B9C870840B1}" name="pago x vacaciones" dataDxfId="266">
      <calculatedColumnFormula>Tabla5121314_341726[[#This Row],[Sal. Dev]]/24*Tabla5121314_341726[[#This Row],[Vacaciones]]</calculatedColumnFormula>
    </tableColumn>
    <tableColumn id="13" xr3:uid="{76FE7EFC-E1B7-4997-A040-0A27BB38B26E}" name="Salario Neto" dataDxfId="265">
      <calculatedColumnFormula>Tabla5121314_341726[[#This Row],[Sal. Dev]]-Tabla5121314_341726[[#This Row],[Ausencias]]</calculatedColumnFormula>
    </tableColumn>
    <tableColumn id="14" xr3:uid="{D40DD4C1-8DCA-4426-A3EA-AF63EDC2F557}" name="importe Seg Social" dataDxfId="264">
      <calculatedColumnFormula>5%*Tabla5121314_341726[[#This Row],[Salario Neto]]</calculatedColumnFormula>
    </tableColumn>
    <tableColumn id="16" xr3:uid="{A3032F7D-46C0-4C08-984F-5B79B6018DE6}" name="Imp. Sobr. Ing. Per 3% (3260.00-9510.00)" dataDxfId="263">
      <calculatedColumnFormula>(9510-3260)*3%</calculatedColumnFormula>
    </tableColumn>
    <tableColumn id="1" xr3:uid="{2E98CD40-E437-46A1-AF12-317658CAB3B5}" name="Imp. Sobr. Ing. Per 5% (9510.00-15000.00)" dataDxfId="262"/>
    <tableColumn id="17" xr3:uid="{F174F711-CC94-4A37-A36E-8046E1F9A65A}" name="Salario a pagar" dataDxfId="261">
      <calculatedColumnFormula>Tabla5121314_341726[[#This Row],[Sal. Dev]]-Tabla5121314_341726[[#This Row],[Ausencias]]+Tabla5121314_341726[[#This Row],[pago x vacaciones]]-Tabla5121314_341726[[#This Row],[importe Seg Social]]-Tabla5121314_341726[[#This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71B616-0974-41C3-9D56-08524C4868C3}" name="Tabla5121314_3451827" displayName="Tabla5121314_3451827" ref="A200:P202" totalsRowShown="0" headerRowDxfId="260" dataDxfId="258" headerRowBorderDxfId="259">
  <autoFilter ref="A200:P202" xr:uid="{00000000-0009-0000-0100-000004000000}"/>
  <tableColumns count="16">
    <tableColumn id="2" xr3:uid="{F25E3970-725C-4396-B64A-314A23D03E2B}" name="No. Exp" dataDxfId="257"/>
    <tableColumn id="3" xr3:uid="{AC25DA56-54FC-432E-ADAA-1BDA8D9A94BF}" name="Nombre y Apellido" dataDxfId="256">
      <calculatedColumnFormula>VLOOKUP(Tabla5121314_3451827[[#This Row],[No. Exp]],Tabla6[],2)</calculatedColumnFormula>
    </tableColumn>
    <tableColumn id="4" xr3:uid="{C4DE67E4-C6D6-42F9-A2DB-6FAB006E6570}" name="C.I" dataDxfId="255">
      <calculatedColumnFormula>VLOOKUP(Tabla5121314_3451827[[#This Row],[No. Exp]],Tabla6[],3)</calculatedColumnFormula>
    </tableColumn>
    <tableColumn id="5" xr3:uid="{C3129676-AD58-43DD-B98A-C3326A0B67B5}" name="Horas trabajadas" dataDxfId="254">
      <calculatedColumnFormula>M197</calculatedColumnFormula>
    </tableColumn>
    <tableColumn id="6" xr3:uid="{3DA9A448-C29F-47B8-BCE1-C626041E4867}" name="Tarifas x Horas" dataDxfId="253">
      <calculatedColumnFormula>VLOOKUP(Tabla5121314_3451827[[#This Row],[No. Exp]],Tabla6[],5)</calculatedColumnFormula>
    </tableColumn>
    <tableColumn id="7" xr3:uid="{9535B37B-06E1-455D-AE75-9E0C210DF707}" name="A Cobrar" dataDxfId="252">
      <calculatedColumnFormula>ROUND(Tabla5121314_3451827[[#This Row],[Horas trabajadas]]*Tabla5121314_3451827[[#This Row],[Tarifas x Horas]],0)</calculatedColumnFormula>
    </tableColumn>
    <tableColumn id="8" xr3:uid="{7D508949-BED6-4453-B35A-4870E9A31A05}" name="Bonif" dataDxfId="251"/>
    <tableColumn id="9" xr3:uid="{296E8AF4-F461-4E6A-A816-8D089273D2D8}" name="Sal. Dev" dataDxfId="250">
      <calculatedColumnFormula>Tabla5121314_3451827[[#This Row],[A Cobrar]]+Tabla5121314_3451827[[#This Row],[Bonif]]</calculatedColumnFormula>
    </tableColumn>
    <tableColumn id="11" xr3:uid="{F8770249-91D5-451F-8548-C642FFB71E54}" name="Ausencias" dataDxfId="249"/>
    <tableColumn id="10" xr3:uid="{7624D8BE-4713-470B-AD29-18053A906FA3}" name="Vacaciones" dataDxfId="248"/>
    <tableColumn id="13" xr3:uid="{A17B9A7C-693C-48FC-84C5-1CCD6E3641B4}" name="pago x vacaciones" dataDxfId="247">
      <calculatedColumnFormula array="1">MMULT(Tabla5121314_3451827[[#This Row],[Tarifas x Horas]],8)*Tabla5121314_3451827[[#This Row],[Vacaciones]]</calculatedColumnFormula>
    </tableColumn>
    <tableColumn id="14" xr3:uid="{981084F0-22FE-4A5F-A8C9-64CE858D30DE}" name="Salario Neto" dataDxfId="246">
      <calculatedColumnFormula>Tabla5121314_3451827[[#This Row],[Sal. Dev]]-Tabla5121314_3451827[[#This Row],[Ausencias]]</calculatedColumnFormula>
    </tableColumn>
    <tableColumn id="15" xr3:uid="{25D2FC1C-221E-4A3D-BF18-133F4A47F1CE}" name="importe Seg Social" dataDxfId="245">
      <calculatedColumnFormula>5%*Tabla5121314_3451827[[#This Row],[Salario Neto]]</calculatedColumnFormula>
    </tableColumn>
    <tableColumn id="16" xr3:uid="{6CA0717F-1621-4171-8082-2BAE768C7139}" name="Imp. Sobr. Ing. Per 3% (3260.00-9510.00)" dataDxfId="244"/>
    <tableColumn id="1" xr3:uid="{1DD5262A-2544-4008-A231-17C58569FFB7}" name="Imp. Sobr. Ing. Per 5% (9510.00-15000.00)" dataDxfId="243"/>
    <tableColumn id="17" xr3:uid="{9BFC8A41-2028-40D0-8EB7-D60C8310C860}" name="Salario a pagar" dataDxfId="242">
      <calculatedColumnFormula>Tabla5121314_3451827[[#This Row],[Sal. Dev]]-Tabla5121314_3451827[[#This Row],[Ausencias]]+Tabla5121314_3451827[[#This Row],[pago x vacaciones]]-Tabla5121314_3451827[[#This Row],[importe Seg Social]]-Tabla5121314_3451827[[#This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F55DC84-F705-43D9-8625-404FE2C039FE}" name="Tabla5121314_34591928" displayName="Tabla5121314_34591928" ref="A185:P192" totalsRowShown="0" headerRowDxfId="241" dataDxfId="239" headerRowBorderDxfId="240">
  <autoFilter ref="A185:P192" xr:uid="{5466D56D-2757-4C30-A164-C713366DE637}"/>
  <tableColumns count="16">
    <tableColumn id="2" xr3:uid="{89F65E24-AD56-47BF-8B27-645CB11E8E5B}" name="No. Exp" dataDxfId="238"/>
    <tableColumn id="3" xr3:uid="{4AEB33E8-E9DB-438E-901B-8EB3D9F0F1DD}" name="Nombre y Apellido" dataDxfId="237">
      <calculatedColumnFormula>VLOOKUP(Tabla5121314_34591928[[#This Row],[No. Exp]],Tabla6[],2)</calculatedColumnFormula>
    </tableColumn>
    <tableColumn id="4" xr3:uid="{7E82D6D6-6592-458A-A06F-49417EA68074}" name="C.I" dataDxfId="236">
      <calculatedColumnFormula>VLOOKUP(Tabla5121314_34591928[[#This Row],[No. Exp]],Tabla6[],3)</calculatedColumnFormula>
    </tableColumn>
    <tableColumn id="5" xr3:uid="{45A9A590-B181-49D1-B8E0-312E4A61979E}" name="Horas trabajadas" dataDxfId="235">
      <calculatedColumnFormula>M182</calculatedColumnFormula>
    </tableColumn>
    <tableColumn id="6" xr3:uid="{BCC5D27B-6127-4809-A1F5-7FE82DB2D5C0}" name="Tarifas x Horas" dataDxfId="234">
      <calculatedColumnFormula>VLOOKUP(Tabla5121314_34591928[[#This Row],[No. Exp]],Tabla6[],5)</calculatedColumnFormula>
    </tableColumn>
    <tableColumn id="7" xr3:uid="{34D616CC-C61D-454B-85CC-242D1107545A}" name="A Cobrar" dataDxfId="233">
      <calculatedColumnFormula>ROUND(Tabla5121314_34591928[[#This Row],[Horas trabajadas]]*Tabla5121314_34591928[[#This Row],[Tarifas x Horas]],0)</calculatedColumnFormula>
    </tableColumn>
    <tableColumn id="8" xr3:uid="{92BE5CEA-903F-4D84-A203-BE888027B5AB}" name="Bonif" dataDxfId="232"/>
    <tableColumn id="9" xr3:uid="{477BA2E0-FF1F-4327-A77D-F2E188F0B5CC}" name="Sal. Dev" dataDxfId="231">
      <calculatedColumnFormula>Tabla5121314_34591928[[#This Row],[A Cobrar]]+Tabla5121314_34591928[[#This Row],[Bonif]]</calculatedColumnFormula>
    </tableColumn>
    <tableColumn id="11" xr3:uid="{721201D0-2440-40D2-BAD2-DB54BE53A193}" name="Ausencias" dataDxfId="230"/>
    <tableColumn id="10" xr3:uid="{D89173EB-FC0F-41C3-B92F-CD260FAA42D4}" name="Vacaciones" dataDxfId="229"/>
    <tableColumn id="13" xr3:uid="{09984A27-F30C-418D-93FE-0D3AF93EFF22}" name="pago x vacaciones" dataDxfId="228">
      <calculatedColumnFormula array="1">MMULT(Tabla5121314_34591928[[#This Row],[Tarifas x Horas]],8)*Tabla5121314_34591928[[#This Row],[Vacaciones]]</calculatedColumnFormula>
    </tableColumn>
    <tableColumn id="14" xr3:uid="{2353CF23-5014-423F-885D-282AE087F94B}" name="Salario Neto" dataDxfId="227">
      <calculatedColumnFormula>Tabla5121314_34591928[[#This Row],[Sal. Dev]]-Tabla5121314_34591928[[#This Row],[Ausencias]]+Tabla5121314_34591928[[#This Row],[pago x vacaciones]]</calculatedColumnFormula>
    </tableColumn>
    <tableColumn id="15" xr3:uid="{571A9EC1-50D0-4FAB-A2F5-CC67E9CD934E}" name="importe Seg Social" dataDxfId="226">
      <calculatedColumnFormula>5%*Tabla5121314_34591928[[#This Row],[Salario Neto]]</calculatedColumnFormula>
    </tableColumn>
    <tableColumn id="16" xr3:uid="{3B97FED6-4D48-4D7E-BAE5-6959BF457784}" name="Imp. Sobr. Ing. Per 3% (3260.00-9510.00)" dataDxfId="225"/>
    <tableColumn id="1" xr3:uid="{56226A69-F06D-4C5F-8466-60DD164A7C88}" name="Imp. Sobr. Ing. Per 5% (9510.00-15000.00)" dataDxfId="224"/>
    <tableColumn id="17" xr3:uid="{14D40A83-7921-4864-B4BC-4AED26C9E9DA}" name="Salario a pagar" dataDxfId="223">
      <calculatedColumnFormula>Tabla5121314_34591928[[#This Row],[Sal. Dev]]-Tabla5121314_34591928[[#This Row],[Ausencias]]+Tabla5121314_34591928[[#This Row],[pago x vacaciones]]-Tabla5121314_34591928[[#This Row],[importe Seg Social]]-Tabla5121314_34591928[[#This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FF9AF2B-5BB2-464E-A6D7-B176AA9E6ADD}" name="Tabla5121314_345182729" displayName="Tabla5121314_345182729" ref="A6:P8" totalsRowShown="0" headerRowDxfId="222" dataDxfId="220" headerRowBorderDxfId="221">
  <autoFilter ref="A6:P8" xr:uid="{BFF9AF2B-5BB2-464E-A6D7-B176AA9E6ADD}"/>
  <tableColumns count="16">
    <tableColumn id="2" xr3:uid="{C838AE19-8F1B-4A1B-90EA-DE358D89E6BE}" name="No. Exp" dataDxfId="219"/>
    <tableColumn id="3" xr3:uid="{A3175396-783F-4321-AD61-FAA357D55BC4}" name="Nombre y Apellido" dataDxfId="218">
      <calculatedColumnFormula>VLOOKUP(Tabla5121314_345182729[[#This Row],[No. Exp]],Tabla6[],2)</calculatedColumnFormula>
    </tableColumn>
    <tableColumn id="4" xr3:uid="{126ADDA8-69B7-4B19-8DF6-E5348E939D3F}" name="C.I" dataDxfId="217">
      <calculatedColumnFormula>VLOOKUP(Tabla5121314_345182729[[#This Row],[No. Exp]],Tabla6[],3)</calculatedColumnFormula>
    </tableColumn>
    <tableColumn id="5" xr3:uid="{6B8066E2-61EF-44D1-B467-007F09C79C5E}" name="Horas trabajadas" dataDxfId="216"/>
    <tableColumn id="6" xr3:uid="{FDA1ECCE-6B54-4B36-A94B-310584D8A395}" name="Tarifas x Horas" dataDxfId="215">
      <calculatedColumnFormula>VLOOKUP(Tabla5121314_345182729[[#This Row],[No. Exp]],Tabla6[],5)</calculatedColumnFormula>
    </tableColumn>
    <tableColumn id="7" xr3:uid="{E9C171AB-6CFC-433F-A1DF-FA70AF74AA39}" name="A Cobrar" dataDxfId="214"/>
    <tableColumn id="8" xr3:uid="{683CEA0F-8B9D-463F-B67A-87CA4472814F}" name="Bonif" dataDxfId="213"/>
    <tableColumn id="9" xr3:uid="{B86FBBED-C636-46DA-9A73-F16032DC448D}" name="Sal. Dev" dataDxfId="212"/>
    <tableColumn id="11" xr3:uid="{A94EEE76-D3CF-4230-9EE1-8B60DA5ABF88}" name="Ausencias" dataDxfId="211"/>
    <tableColumn id="10" xr3:uid="{027D1ADC-F5D8-4D07-9F5A-95E348FA8F3F}" name="Vacaciones" dataDxfId="210"/>
    <tableColumn id="13" xr3:uid="{B9C4F6C7-EDD7-43F8-BBD3-242BBB047196}" name="pago x vacaciones" dataDxfId="209"/>
    <tableColumn id="14" xr3:uid="{4A28ADF0-D1F9-40EB-8728-EDC1CDB3EEA0}" name="Salario Neto" dataDxfId="208">
      <calculatedColumnFormula>Tabla5121314_345182729[[#This Row],[Sal. Dev]]-Tabla5121314_345182729[[#This Row],[Ausencias]]</calculatedColumnFormula>
    </tableColumn>
    <tableColumn id="15" xr3:uid="{49C20E82-72F0-4331-B2A6-471ADEAFCFE4}" name="importe Seg Social" dataDxfId="207">
      <calculatedColumnFormula>5%*Tabla5121314_345182729[[#This Row],[Salario Neto]]</calculatedColumnFormula>
    </tableColumn>
    <tableColumn id="16" xr3:uid="{2197B9C6-F6C3-42B5-A8A9-C79071618E41}" name="Imp. Sobr. Ing. Per 3% (3260.00-9510.00)" dataDxfId="206"/>
    <tableColumn id="1" xr3:uid="{37F05436-C37F-455A-A16D-885801C86FCC}" name="Imp. Sobr. Ing. Per 5% (9510.00-15000.00)" dataDxfId="205"/>
    <tableColumn id="17" xr3:uid="{2F1ECA5D-B932-463E-BA97-46A3C7BEDF3F}" name="Salario a pagar" dataDxfId="204">
      <calculatedColumnFormula>Tabla5121314_345182729[[#This Row],[Sal. Dev]]-Tabla5121314_345182729[[#This Row],[Ausencias]]+Tabla5121314_345182729[[#This Row],[pago x vacaciones]]-Tabla5121314_345182729[[#This Row],[importe Seg Social]]-Tabla5121314_345182729[[#This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672E5A0-1D28-4608-AA02-BB244E9E622D}" name="Tabla522130" displayName="Tabla522130" ref="A10:P16" totalsRowShown="0" headerRowDxfId="203" dataDxfId="201" headerRowBorderDxfId="202" tableBorderDxfId="200">
  <autoFilter ref="A10:P16" xr:uid="{00000000-0009-0000-0100-000005000000}"/>
  <tableColumns count="16">
    <tableColumn id="2" xr3:uid="{793D23A5-423D-4429-9AF2-CDA5E9DA14BB}" name="No. Exp" dataDxfId="199"/>
    <tableColumn id="3" xr3:uid="{862AC3DD-348E-4A5F-B687-FEBEF3036E87}" name="Nombre y Apellido" dataDxfId="198">
      <calculatedColumnFormula>VLOOKUP(Tabla522130[[#This Row],[No. Exp]],Tabla6[],2)</calculatedColumnFormula>
    </tableColumn>
    <tableColumn id="14" xr3:uid="{C67EB449-2E4D-4409-867F-8CABF2DDAD24}" name="C.I" dataDxfId="197">
      <calculatedColumnFormula>VLOOKUP(Tabla522130[[#This Row],[No. Exp]],Tabla6[],3)</calculatedColumnFormula>
    </tableColumn>
    <tableColumn id="4" xr3:uid="{5A360709-E224-48E6-9C6F-B713F717387C}" name="Horas Trabajadas" dataDxfId="196">
      <calculatedColumnFormula>#REF!</calculatedColumnFormula>
    </tableColumn>
    <tableColumn id="5" xr3:uid="{CF4BE6C8-1FD9-4F1E-8651-EB9FB777A0ED}" name="Tarifas por Horas" dataDxfId="195">
      <calculatedColumnFormula>VLOOKUP(Tabla522130[[#This Row],[No. Exp]],Tabla6[],5)</calculatedColumnFormula>
    </tableColumn>
    <tableColumn id="6" xr3:uid="{DF32A8FF-34E6-4F56-9A08-113F69743D52}" name="Salario Básico" dataDxfId="194">
      <calculatedColumnFormula>ROUND(Tabla522130[[#This Row],[Horas Trabajadas]]*Tabla522130[[#This Row],[Tarifas por Horas]],0)</calculatedColumnFormula>
    </tableColumn>
    <tableColumn id="7" xr3:uid="{FB276365-2145-451D-A5B1-A9E259761DF3}" name="Bonif" dataDxfId="193"/>
    <tableColumn id="9" xr3:uid="{46EFA532-B15E-4521-A92E-C912E0210D03}" name="Sal. Dev" dataDxfId="192">
      <calculatedColumnFormula>Tabla522130[[#This Row],[Salario Básico]]+Tabla522130[[#This Row],[Bonif]]</calculatedColumnFormula>
    </tableColumn>
    <tableColumn id="16" xr3:uid="{121CEF04-4D5A-4601-85D7-9C7F8C2B1AF2}" name="Ausencias" dataDxfId="191">
      <calculatedColumnFormula>E7</calculatedColumnFormula>
    </tableColumn>
    <tableColumn id="8" xr3:uid="{1AFF0F69-2E72-4CB6-A4DB-DAA53320FD8F}" name="Vacaciones" dataDxfId="190">
      <calculatedColumnFormula>'Submayor Vacaciones'!#REF!</calculatedColumnFormula>
    </tableColumn>
    <tableColumn id="12" xr3:uid="{82D642AD-2853-4B56-A867-0E359391A69C}" name="pago x vacaciones" dataDxfId="189">
      <calculatedColumnFormula>Tabla522130[[#This Row],[Sal. Dev]]/24*Tabla522130[[#This Row],[Vacaciones]]</calculatedColumnFormula>
    </tableColumn>
    <tableColumn id="15" xr3:uid="{3118A811-273F-44EC-9D8D-BBF2B537A3CA}" name="Salario Neto" dataDxfId="188">
      <calculatedColumnFormula>Tabla522130[[#This Row],[Sal. Dev]]-Tabla522130[[#This Row],[Ausencias]]+Tabla522130[[#This Row],[pago x vacaciones]]</calculatedColumnFormula>
    </tableColumn>
    <tableColumn id="13" xr3:uid="{B6ECFD77-1C04-46BE-AD86-867C3D9EEAC8}" name="importe Seg Social" dataDxfId="187">
      <calculatedColumnFormula>5%*Tabla522130[[#This Row],[Salario Neto]]</calculatedColumnFormula>
    </tableColumn>
    <tableColumn id="11" xr3:uid="{ACA852EF-6E0B-485D-9FBA-02D2008EC715}" name="Imp. Sobr. Ing. Per 3% (3260.00-9510.00)" dataDxfId="186">
      <calculatedColumnFormula>(9510-3260)*3%</calculatedColumnFormula>
    </tableColumn>
    <tableColumn id="1" xr3:uid="{191265E6-A5EF-44D1-AEFA-DBDAA62CBBDF}" name="Imp. Sobr. Ing. Per 5% (9510.00-15000.00)" dataDxfId="185">
      <calculatedColumnFormula>(Tabla522130[[#This Row],[Salario Neto]]-9510)*5%</calculatedColumnFormula>
    </tableColumn>
    <tableColumn id="17" xr3:uid="{CF64F8F9-F9FB-4A5C-B57B-C2961061BC38}" name="Salario a pagar" dataDxfId="184">
      <calculatedColumnFormula>Tabla522130[[#This Row],[Sal. Dev]]-Tabla522130[[#This Row],[Ausencias]]+Tabla522130[[#This Row],[pago x vacaciones]]-Tabla522130[[#This Row],[importe Seg Social]]-Tabla522130[[#This Row],[Imp. Sobr. Ing. Per 3% (3260.00-9510.00)]]-Tabla522130[[#This Row],[Imp. Sobr. Ing. Per 5% (9510.00-15000.00)]]</calculatedColumnFormula>
    </tableColumn>
  </tableColumns>
  <tableStyleInfo name="TableStyleLight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0535A95-2E2C-4DF5-B9EF-A6495354CED5}" name="Tabla512102231" displayName="Tabla512102231" ref="A28:P54" totalsRowShown="0" headerRowDxfId="183" dataDxfId="181" headerRowBorderDxfId="182" tableBorderDxfId="180">
  <autoFilter ref="A28:P54" xr:uid="{00000000-0009-0000-0100-00000B000000}"/>
  <tableColumns count="16">
    <tableColumn id="2" xr3:uid="{F76D208E-89BD-4796-BE53-00A30B3F55C4}" name="No. Exp" dataDxfId="179"/>
    <tableColumn id="3" xr3:uid="{5C382203-0283-4AB1-BD32-7ABEBD19A318}" name="Nombre y Apellido" dataDxfId="178">
      <calculatedColumnFormula>VLOOKUP(Tabla512102231[[#This Row],[No. Exp]],Tabla6[],2)</calculatedColumnFormula>
    </tableColumn>
    <tableColumn id="14" xr3:uid="{372FFD59-4F46-4BB5-9520-7CDF1C4BA984}" name="C.I" dataDxfId="177">
      <calculatedColumnFormula>VLOOKUP(Tabla512102231[[#This Row],[No. Exp]],Tabla6[],3)</calculatedColumnFormula>
    </tableColumn>
    <tableColumn id="4" xr3:uid="{A31FAFFC-D852-4A4A-92E4-95BD78C4A98B}" name="Horas Trabajadas" dataDxfId="176">
      <calculatedColumnFormula>#REF!</calculatedColumnFormula>
    </tableColumn>
    <tableColumn id="5" xr3:uid="{D12073BE-2AFA-4901-A9AC-8EBCDB9F35E7}" name="Tarifas x horas " dataDxfId="175">
      <calculatedColumnFormula>VLOOKUP(Tabla512102231[[#This Row],[No. Exp]],Tabla6[],5)</calculatedColumnFormula>
    </tableColumn>
    <tableColumn id="6" xr3:uid="{1EA589E5-0D13-4B9B-920F-A4F7BB7458C7}" name="Salario Básico" dataDxfId="174">
      <calculatedColumnFormula>ROUND(Tabla512102231[[#This Row],[Horas Trabajadas]]*Tabla512102231[[#This Row],[Tarifas x horas ]],0)</calculatedColumnFormula>
    </tableColumn>
    <tableColumn id="7" xr3:uid="{2553B05E-8987-44DE-9DB4-9179F82F5ED5}" name="Bonif" dataDxfId="173"/>
    <tableColumn id="9" xr3:uid="{ACFBD676-4953-412C-AA5F-E8200C944128}" name="Sal. Dev" dataDxfId="172">
      <calculatedColumnFormula>Tabla512102231[[#This Row],[Salario Básico]]+Tabla512102231[[#This Row],[Bonif]]</calculatedColumnFormula>
    </tableColumn>
    <tableColumn id="16" xr3:uid="{78D894CE-FCBC-48F6-ADD5-23991874BC2F}" name="Ausencias" dataDxfId="171"/>
    <tableColumn id="8" xr3:uid="{C75D8ED9-6F94-4995-99CB-9552EF0ED7D8}" name="Vacaciones" dataDxfId="170">
      <calculatedColumnFormula>'Submayor Vacaciones'!#REF!</calculatedColumnFormula>
    </tableColumn>
    <tableColumn id="12" xr3:uid="{E246F887-8744-4CF1-943E-7D635BA9CC85}" name="pago x Vacaciones" dataDxfId="169">
      <calculatedColumnFormula>Tabla512102231[[#This Row],[Sal. Dev]]/24*Tabla512102231[[#This Row],[Vacaciones]]</calculatedColumnFormula>
    </tableColumn>
    <tableColumn id="10" xr3:uid="{AEDEAD39-08D5-4AB0-8B36-42F406FF93E0}" name="Salario Neto" dataDxfId="168">
      <calculatedColumnFormula>Tabla512102231[[#This Row],[Sal. Dev]]-Tabla512102231[[#This Row],[Ausencias]]+Tabla512102231[[#This Row],[pago x Vacaciones]]</calculatedColumnFormula>
    </tableColumn>
    <tableColumn id="11" xr3:uid="{3C7E50EE-3559-493B-B7E1-D7D1AA645715}" name="importe Seg Social" dataDxfId="167">
      <calculatedColumnFormula>5%*Tabla512102231[[#This Row],[Salario Neto]]</calculatedColumnFormula>
    </tableColumn>
    <tableColumn id="13" xr3:uid="{12DC97F2-5641-471E-ABD9-DE1172EF3359}" name="Imp. Sobr. Ing. Per 3% (3260.00-9510.00)" dataDxfId="166">
      <calculatedColumnFormula>(9510-3260)*3%</calculatedColumnFormula>
    </tableColumn>
    <tableColumn id="1" xr3:uid="{FCAF74E4-2F54-4077-86AE-30CD4CA7077E}" name="Imp. Sobr. Ing. Per 5% (9510.00-15000.00)" dataDxfId="165"/>
    <tableColumn id="15" xr3:uid="{14F0A25D-C2C4-41BA-BC18-DAA9AEBE676F}" name="Salario a pagar" dataDxfId="164">
      <calculatedColumnFormula>Tabla512102231[[#This Row],[Sal. Dev]]-Tabla512102231[[#This Row],[Ausencias]]+Tabla512102231[[#This Row],[pago x Vacaciones]]-Tabla512102231[[#This Row],[importe Seg Social]]-Tabla512102231[[#This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F51D653-A5FF-451B-BB18-6E06A0154914}" name="Tabla51213112332" displayName="Tabla51213112332" ref="A75:P91" totalsRowShown="0" headerRowDxfId="163" dataDxfId="161" headerRowBorderDxfId="162" tableBorderDxfId="160">
  <autoFilter ref="A75:P91" xr:uid="{00000000-0009-0000-0100-00000C000000}"/>
  <tableColumns count="16">
    <tableColumn id="2" xr3:uid="{6F65A50E-D2AE-428B-BE18-89BD1DA151EB}" name="No. Exp" dataDxfId="159"/>
    <tableColumn id="3" xr3:uid="{F53CFDE8-A715-4F36-87EA-3570C933BB10}" name="Nombre y Apellido" dataDxfId="158">
      <calculatedColumnFormula>VLOOKUP(Tabla51213112332[[#This Row],[No. Exp]],Tabla6[],2)</calculatedColumnFormula>
    </tableColumn>
    <tableColumn id="14" xr3:uid="{B327142E-02EE-476A-B795-5B58CC3CE850}" name="C.I" dataDxfId="157">
      <calculatedColumnFormula>VLOOKUP(Tabla51213112332[[#This Row],[No. Exp]],Tabla6[],3)</calculatedColumnFormula>
    </tableColumn>
    <tableColumn id="4" xr3:uid="{5ED23A49-54C7-4466-8035-E57B4F12929F}" name="Horas Trabajadas" dataDxfId="156">
      <calculatedColumnFormula>#REF!</calculatedColumnFormula>
    </tableColumn>
    <tableColumn id="5" xr3:uid="{244F421D-904A-44F7-BFB9-57F559039B08}" name="Tarifas por horas" dataDxfId="155">
      <calculatedColumnFormula>VLOOKUP(Tabla51213112332[[#This Row],[No. Exp]],Tabla6[],5)</calculatedColumnFormula>
    </tableColumn>
    <tableColumn id="6" xr3:uid="{0A900EFB-FE63-409C-B795-B0F3AFE2AD61}" name="Salario Básico" dataDxfId="154">
      <calculatedColumnFormula>ROUND(Tabla51213112332[[#This Row],[Horas Trabajadas]]*Tabla51213112332[[#This Row],[Tarifas por horas]],0)</calculatedColumnFormula>
    </tableColumn>
    <tableColumn id="7" xr3:uid="{63A93745-06D9-4964-8BE0-AB2A5266E012}" name="Bonif" dataDxfId="153"/>
    <tableColumn id="9" xr3:uid="{8A8D0121-C30E-4B06-9DA2-71095B221F4B}" name="Sal. Dev" dataDxfId="152">
      <calculatedColumnFormula>Tabla51213112332[[#This Row],[Salario Básico]]+Tabla51213112332[[#This Row],[Bonif]]</calculatedColumnFormula>
    </tableColumn>
    <tableColumn id="16" xr3:uid="{C5DE77A9-FDF9-414C-95F1-F098D1B15296}" name="Ausencias" dataDxfId="151"/>
    <tableColumn id="8" xr3:uid="{66BE72F0-9FD0-4A49-9E20-687AAD7375C4}" name="Vacaciones" dataDxfId="150">
      <calculatedColumnFormula>'Submayor Vacaciones'!#REF!</calculatedColumnFormula>
    </tableColumn>
    <tableColumn id="12" xr3:uid="{C61B18AF-3A5F-4101-A528-C8FA6C5C152F}" name="pago x vacaciones" dataDxfId="149">
      <calculatedColumnFormula array="1">MMULT(Tabla51213112332[[#This Row],[Tarifas por horas]],8)*Tabla51213112332[[#This Row],[Vacaciones]]</calculatedColumnFormula>
    </tableColumn>
    <tableColumn id="10" xr3:uid="{5E8AC35D-4822-4F0B-AFAB-0B30EE417618}" name="Salario Neto" dataDxfId="148">
      <calculatedColumnFormula>Tabla51213112332[[#This Row],[Sal. Dev]]-Tabla51213112332[[#This Row],[Ausencias]]+Tabla51213112332[[#This Row],[pago x vacaciones]]</calculatedColumnFormula>
    </tableColumn>
    <tableColumn id="11" xr3:uid="{7AD60F20-101A-49C3-9E0C-10D6DF52D1C0}" name="importe Seg Social" dataDxfId="147">
      <calculatedColumnFormula>5%*Tabla51213112332[[#This Row],[Salario Neto]]</calculatedColumnFormula>
    </tableColumn>
    <tableColumn id="13" xr3:uid="{FE0BA56E-6091-4BF7-965E-8EB95E0174A6}" name="Imp. Sobr. Ing. Per 3% (3260.00-9510.00)" dataDxfId="146">
      <calculatedColumnFormula>(9510-3260)*3%</calculatedColumnFormula>
    </tableColumn>
    <tableColumn id="1" xr3:uid="{E3E035C0-021F-4782-B582-D58B36B0A411}" name="Imp. Sobr. Ing. Per 5% (9510.00-15000.00)" dataDxfId="145"/>
    <tableColumn id="15" xr3:uid="{9FF34F5C-6609-4121-8539-9C24EE9A99B2}" name="Salario a pagar" dataDxfId="144">
      <calculatedColumnFormula>Tabla51213112332[[#This Row],[Sal. Dev]]-Tabla51213112332[[#This Row],[Ausencias]]+Tabla51213112332[[#This Row],[pago x vacaciones]]-Tabla51213112332[[#This Row],[importe Seg Social]]-Tabla51213112332[[#This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3F60E8E-F632-4487-A976-093DBD4476EB}" name="Tabla5121314152433" displayName="Tabla5121314152433" ref="A108:P112" totalsRowShown="0" headerRowDxfId="143" dataDxfId="141" headerRowBorderDxfId="142">
  <autoFilter ref="A108:P112" xr:uid="{00000000-0009-0000-0100-00000D000000}"/>
  <tableColumns count="16">
    <tableColumn id="2" xr3:uid="{418BD101-4DA6-4B59-8A91-C1A0D1B3CEDC}" name="No. Exp" dataDxfId="140"/>
    <tableColumn id="3" xr3:uid="{70A3BEF1-D117-4C0A-ACCA-81305021B4CD}" name="Nombre y Apellido" dataDxfId="139">
      <calculatedColumnFormula>VLOOKUP(Tabla5121314152433[[#This Row],[No. Exp]],Tabla6[],2)</calculatedColumnFormula>
    </tableColumn>
    <tableColumn id="14" xr3:uid="{4B2A9FA9-30CA-4C01-9183-8E9CC31B2F77}" name="C.I" dataDxfId="138">
      <calculatedColumnFormula>VLOOKUP(Tabla5121314152433[[#This Row],[No. Exp]],Tabla6[],3)</calculatedColumnFormula>
    </tableColumn>
    <tableColumn id="4" xr3:uid="{4439B9F1-A3C7-4DC5-939D-BF2C7DB69D59}" name="Horas Trabajadas" dataDxfId="137">
      <calculatedColumnFormula>#REF!</calculatedColumnFormula>
    </tableColumn>
    <tableColumn id="5" xr3:uid="{F048A4F3-4E4F-4EDF-AC89-818E294244AD}" name="Tarifas x horas" dataDxfId="136">
      <calculatedColumnFormula>VLOOKUP(Tabla5121314152433[[#This Row],[No. Exp]],Tabla6[],5)</calculatedColumnFormula>
    </tableColumn>
    <tableColumn id="6" xr3:uid="{A4D902C1-D939-4F11-B8DA-0B3EFE0E9A9D}" name="A Cobrar" dataDxfId="135">
      <calculatedColumnFormula>ROUND(Tabla5121314152433[[#This Row],[Horas Trabajadas]]*Tabla5121314152433[[#This Row],[Tarifas x horas]],0)</calculatedColumnFormula>
    </tableColumn>
    <tableColumn id="7" xr3:uid="{20BE357A-6A84-4FD2-8283-3C0A2D1FC12B}" name="Bonif" dataDxfId="134"/>
    <tableColumn id="9" xr3:uid="{D269BA4B-467A-4ABF-8C2B-3945C38BE80B}" name="Sal. Dev" dataDxfId="133">
      <calculatedColumnFormula>Tabla5121314152433[[#This Row],[A Cobrar]]+Tabla5121314152433[[#This Row],[Bonif]]</calculatedColumnFormula>
    </tableColumn>
    <tableColumn id="16" xr3:uid="{A089A6BE-C8BA-406A-99C6-7DC6947C8239}" name="Ausencias" dataDxfId="132"/>
    <tableColumn id="8" xr3:uid="{4678CFF0-F098-4093-B288-9228F5555531}" name="Vacaciones" dataDxfId="131"/>
    <tableColumn id="12" xr3:uid="{A001855F-2408-4602-9ACA-B75A7BC22782}" name="pago x vacaciones" dataDxfId="130">
      <calculatedColumnFormula array="1">MMULT(Tabla5121314152433[[#This Row],[Tarifas x horas]],8)*Tabla5121314152433[[#This Row],[Vacaciones]]</calculatedColumnFormula>
    </tableColumn>
    <tableColumn id="10" xr3:uid="{4636C560-BBD5-4913-90DE-9622E5E2AAB7}" name="Salario Neto" dataDxfId="129">
      <calculatedColumnFormula>Tabla5121314152433[[#This Row],[Sal. Dev]]-Tabla5121314152433[[#This Row],[Ausencias]]+Tabla5121314152433[[#This Row],[pago x vacaciones]]</calculatedColumnFormula>
    </tableColumn>
    <tableColumn id="11" xr3:uid="{CF8C7090-269F-4C47-842A-2A1E634733A3}" name="importe Seg Social" dataDxfId="128">
      <calculatedColumnFormula>5%*Tabla5121314152433[[#This Row],[Salario Neto]]</calculatedColumnFormula>
    </tableColumn>
    <tableColumn id="13" xr3:uid="{94B970E1-FB46-4D82-A4EC-D9F8F8DF01D8}" name="Imp. Sobr. Ing. Per 3% (3260.00-9510.00)" dataDxfId="127">
      <calculatedColumnFormula>(9510-3260)*3%</calculatedColumnFormula>
    </tableColumn>
    <tableColumn id="1" xr3:uid="{F4235D07-65F2-4725-AF29-08FD36CD4B71}" name="Imp. Sobr. Ing. Per 5% (9510.00-15000.00)" dataDxfId="126"/>
    <tableColumn id="15" xr3:uid="{373E9BBB-48E6-4C34-823A-9A62A014E1EC}" name="Salario a pagar" dataDxfId="125">
      <calculatedColumnFormula>Tabla5121314152433[[#This Row],[Sal. Dev]]-Tabla5121314152433[[#This Row],[Ausencias]]+Tabla5121314152433[[#This Row],[pago x vacaciones]]-Tabla5121314152433[[#This Row],[importe Seg Social]]-Tabla5121314152433[[#This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BB68B40-99D1-4559-95CD-C5EC4D6C0629}" name="Tabla5121314_3162534" displayName="Tabla5121314_3162534" ref="A131:P147" totalsRowShown="0" headerRowDxfId="124" dataDxfId="122" headerRowBorderDxfId="123" tableBorderDxfId="121">
  <autoFilter ref="A131:P147" xr:uid="{00000000-0009-0000-0100-000002000000}"/>
  <tableColumns count="16">
    <tableColumn id="2" xr3:uid="{312A58A5-2090-4BF3-A703-F7FD39D010B3}" name="No. Exp" dataDxfId="120"/>
    <tableColumn id="3" xr3:uid="{611ADD59-2B87-4908-A49C-6143D2EAA15D}" name="Nombre y Apellido" dataDxfId="119">
      <calculatedColumnFormula>VLOOKUP(Tabla5121314_3162534[[#This Row],[No. Exp]],Tabla6[],2)</calculatedColumnFormula>
    </tableColumn>
    <tableColumn id="4" xr3:uid="{D3F64B61-64D0-4DBB-973F-52B7DA380B5C}" name="C.I" dataDxfId="118">
      <calculatedColumnFormula>VLOOKUP(Tabla5121314_3162534[[#This Row],[No. Exp]],Tabla6[],3)</calculatedColumnFormula>
    </tableColumn>
    <tableColumn id="5" xr3:uid="{16FB8061-10C5-493E-BF9A-EEE328327E9B}" name="Horas trabajadas" dataDxfId="117">
      <calculatedColumnFormula>#REF!</calculatedColumnFormula>
    </tableColumn>
    <tableColumn id="6" xr3:uid="{D80A32A0-846C-47C5-AB05-E3544C7C3479}" name="Tarifas x horas" dataDxfId="116">
      <calculatedColumnFormula>VLOOKUP(Tabla5121314_3162534[[#This Row],[No. Exp]],Tabla6[],5)</calculatedColumnFormula>
    </tableColumn>
    <tableColumn id="7" xr3:uid="{549165FB-CFA2-434B-A8E5-EB2B20DBE063}" name="A Cobrar" dataDxfId="115">
      <calculatedColumnFormula>ROUND(Tabla5121314_3162534[[#This Row],[Horas trabajadas]]*Tabla5121314_3162534[[#This Row],[Tarifas x horas]],0)</calculatedColumnFormula>
    </tableColumn>
    <tableColumn id="8" xr3:uid="{06460581-AE94-4C78-BA52-0BB8E05F0D08}" name="Bonif" dataDxfId="114"/>
    <tableColumn id="9" xr3:uid="{E250D39E-ECE5-44A8-BF28-B578037C16B1}" name="Sal. Dev" dataDxfId="113">
      <calculatedColumnFormula>Tabla5121314_3162534[[#This Row],[A Cobrar]]+Tabla5121314_3162534[[#This Row],[Bonif]]</calculatedColumnFormula>
    </tableColumn>
    <tableColumn id="11" xr3:uid="{43603281-BFA1-4401-A25A-1E1B0C9E3D29}" name="Ausencias" dataDxfId="112"/>
    <tableColumn id="10" xr3:uid="{E1730B2F-5C31-4BC5-984E-0CB7930A1733}" name="Vacaciones" dataDxfId="111">
      <calculatedColumnFormula>'Submayor Vacaciones'!#REF!</calculatedColumnFormula>
    </tableColumn>
    <tableColumn id="15" xr3:uid="{E10F21C2-69F6-4103-8FD7-FBCE3EA49A87}" name="pago x vacaciones" dataDxfId="110">
      <calculatedColumnFormula array="1">MMULT(Tabla5121314_3162534[[#This Row],[Tarifas x horas]],8)*Tabla5121314_3162534[[#This Row],[Vacaciones]]</calculatedColumnFormula>
    </tableColumn>
    <tableColumn id="13" xr3:uid="{A971E942-7B94-44A1-9AB5-17F8BD0E6F10}" name="Salario Neto" dataDxfId="109">
      <calculatedColumnFormula>Tabla5121314_3162534[[#This Row],[Sal. Dev]]-Tabla5121314_3162534[[#This Row],[Ausencias]]+Tabla5121314_3162534[[#This Row],[pago x vacaciones]]</calculatedColumnFormula>
    </tableColumn>
    <tableColumn id="14" xr3:uid="{2D1FDA59-8306-4BE5-A611-5FD5C4FC475B}" name="importe Seg Social" dataDxfId="108">
      <calculatedColumnFormula>5%*Tabla5121314_3162534[[#This Row],[Salario Neto]]</calculatedColumnFormula>
    </tableColumn>
    <tableColumn id="16" xr3:uid="{FC5B7118-848F-4725-83D2-8CA46BA765B6}" name="Imp. Sobr. Ing. Per 3% (3260.00-9510.00)" dataDxfId="107">
      <calculatedColumnFormula>(9510-3260)*3%</calculatedColumnFormula>
    </tableColumn>
    <tableColumn id="1" xr3:uid="{5C7D7A1F-3FA6-4834-9A00-3294133B0F80}" name="Imp. Sobr. Ing. Per 5% (9510.00-15000.00)" dataDxfId="106"/>
    <tableColumn id="17" xr3:uid="{A6E70315-036E-42B0-833A-DD5DCB33916F}" name="Salario a pagar" dataDxfId="105">
      <calculatedColumnFormula>Tabla5121314_3162534[[#This Row],[Sal. Dev]]-Tabla5121314_3162534[[#This Row],[Ausencias]]+Tabla5121314_3162534[[#This Row],[pago x vacaciones]]-Tabla5121314_3162534[[#This Row],[importe Seg Social]]-Tabla5121314_3162534[[#This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7B1EA8F-44AC-4B59-8DCC-B4D25E6114F1}" name="Tabla5121314_34172635" displayName="Tabla5121314_34172635" ref="A162:P176" totalsRowShown="0" headerRowDxfId="104" dataDxfId="102" headerRowBorderDxfId="103">
  <autoFilter ref="A162:P176" xr:uid="{00000000-0009-0000-0100-000003000000}"/>
  <tableColumns count="16">
    <tableColumn id="2" xr3:uid="{F8C17DBB-85C2-4432-A89B-2147C1FCB4D6}" name="No. Exp" dataDxfId="101"/>
    <tableColumn id="3" xr3:uid="{F52DB2F6-DF05-46A4-89EC-3F62A217D9F0}" name="Nombre y Apellido" dataDxfId="100">
      <calculatedColumnFormula>VLOOKUP(Tabla5121314_34172635[[#This Row],[No. Exp]],Tabla6[],2)</calculatedColumnFormula>
    </tableColumn>
    <tableColumn id="4" xr3:uid="{937CC48A-3D5C-48F3-9883-A943CA6B6F48}" name="C.I" dataDxfId="99">
      <calculatedColumnFormula>VLOOKUP(Tabla5121314_34172635[[#This Row],[No. Exp]],Tabla6[],3)</calculatedColumnFormula>
    </tableColumn>
    <tableColumn id="5" xr3:uid="{2BA7D97C-C4B7-4A14-B39F-117D99484733}" name="Horas trabajadas" dataDxfId="98">
      <calculatedColumnFormula>#REF!</calculatedColumnFormula>
    </tableColumn>
    <tableColumn id="6" xr3:uid="{9F836A1F-3D32-42E1-9EDB-CF2D2DC952E2}" name="Tarifas x Horas" dataDxfId="97">
      <calculatedColumnFormula>VLOOKUP(Tabla5121314_34172635[[#This Row],[No. Exp]],Tabla6[],5)</calculatedColumnFormula>
    </tableColumn>
    <tableColumn id="7" xr3:uid="{7D44EC3C-FC12-41D1-B97A-60352739D96D}" name="A Cobrar" dataDxfId="96">
      <calculatedColumnFormula>ROUND(Tabla5121314_34172635[[#This Row],[Horas trabajadas]]*Tabla5121314_34172635[[#This Row],[Tarifas x Horas]],0)</calculatedColumnFormula>
    </tableColumn>
    <tableColumn id="8" xr3:uid="{125CB52D-58A6-4280-97BB-0A23AED3FBF9}" name="Bonif" dataDxfId="95"/>
    <tableColumn id="9" xr3:uid="{7BFA2773-1D73-49CC-B314-FADDF901D04B}" name="Sal. Dev" dataDxfId="94">
      <calculatedColumnFormula>Tabla5121314_34172635[[#This Row],[A Cobrar]]+Tabla5121314_34172635[[#This Row],[Bonif]]</calculatedColumnFormula>
    </tableColumn>
    <tableColumn id="11" xr3:uid="{6ABE0BF7-5B66-482A-B202-490F4402094F}" name="Ausencias" dataDxfId="93"/>
    <tableColumn id="10" xr3:uid="{72103D1C-90AA-44FA-95B5-DC88C9C59DDB}" name="Vacaciones" dataDxfId="92">
      <calculatedColumnFormula>'Submayor Vacaciones'!#REF!</calculatedColumnFormula>
    </tableColumn>
    <tableColumn id="15" xr3:uid="{ED574933-CD8E-49D2-996C-9917372C91E1}" name="pago x vacaciones" dataDxfId="91">
      <calculatedColumnFormula>Tabla5121314_34172635[[#This Row],[Sal. Dev]]/24*Tabla5121314_34172635[[#This Row],[Vacaciones]]</calculatedColumnFormula>
    </tableColumn>
    <tableColumn id="13" xr3:uid="{F06B648B-51C4-451B-938A-3E3667AD2025}" name="Salario Neto" dataDxfId="90">
      <calculatedColumnFormula>Tabla5121314_34172635[[#This Row],[Sal. Dev]]-Tabla5121314_34172635[[#This Row],[Ausencias]]</calculatedColumnFormula>
    </tableColumn>
    <tableColumn id="14" xr3:uid="{687F4505-49F8-4AFA-832C-96BA127830EE}" name="importe Seg Social" dataDxfId="89">
      <calculatedColumnFormula>5%*Tabla5121314_34172635[[#This Row],[Salario Neto]]</calculatedColumnFormula>
    </tableColumn>
    <tableColumn id="16" xr3:uid="{E5531CE1-CD22-4D6E-AE84-FCD40ACDBD33}" name="Imp. Sobr. Ing. Per 3% (3260.00-9510.00)" dataDxfId="88">
      <calculatedColumnFormula>(9510-3260)*3%</calculatedColumnFormula>
    </tableColumn>
    <tableColumn id="1" xr3:uid="{9655B8D4-F9B0-4271-9279-E72D9709E39F}" name="Imp. Sobr. Ing. Per 5% (9510.00-15000.00)" dataDxfId="87"/>
    <tableColumn id="17" xr3:uid="{231F86CC-9D5A-4950-A083-8BA5A5A15191}" name="Salario a pagar" dataDxfId="86">
      <calculatedColumnFormula>Tabla5121314_34172635[[#This Row],[Sal. Dev]]-Tabla5121314_34172635[[#This Row],[Ausencias]]+Tabla5121314_34172635[[#This Row],[pago x vacaciones]]-Tabla5121314_34172635[[#This Row],[importe Seg Social]]-Tabla5121314_34172635[[#This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7F9B743-6EC6-4AA9-A087-7D0E86A79DE9}" name="Tabla5121314_345182736" displayName="Tabla5121314_345182736" ref="A203:P204" totalsRowShown="0" headerRowDxfId="85" dataDxfId="83" headerRowBorderDxfId="84">
  <autoFilter ref="A203:P204" xr:uid="{00000000-0009-0000-0100-000004000000}"/>
  <tableColumns count="16">
    <tableColumn id="2" xr3:uid="{0758276A-1B73-4559-B2B9-22D7F89EB806}" name="No. Exp" dataDxfId="82"/>
    <tableColumn id="3" xr3:uid="{1DA6FF79-1BE8-401F-8651-F8777BDBD63C}" name="Nombre y Apellido" dataDxfId="81">
      <calculatedColumnFormula>VLOOKUP(Tabla5121314_345182736[[#This Row],[No. Exp]],Tabla6[],2)</calculatedColumnFormula>
    </tableColumn>
    <tableColumn id="4" xr3:uid="{F467613E-B177-4D1F-A178-D423329CA9CA}" name="C.I" dataDxfId="80">
      <calculatedColumnFormula>VLOOKUP(Tabla5121314_345182736[[#This Row],[No. Exp]],Tabla6[],3)</calculatedColumnFormula>
    </tableColumn>
    <tableColumn id="5" xr3:uid="{5671FFFE-4D3F-4E3A-9607-C11C16B131D5}" name="Horas trabajadas" dataDxfId="79">
      <calculatedColumnFormula>M200</calculatedColumnFormula>
    </tableColumn>
    <tableColumn id="6" xr3:uid="{C87D57E7-A011-4667-A4E5-38A3939BCCB9}" name="Tarifas x Horas" dataDxfId="78">
      <calculatedColumnFormula>VLOOKUP(Tabla5121314_345182736[[#This Row],[No. Exp]],Tabla6[],5)</calculatedColumnFormula>
    </tableColumn>
    <tableColumn id="7" xr3:uid="{68376ED2-59D3-4AC6-A5E5-F1DF193D41A1}" name="A Cobrar" dataDxfId="77">
      <calculatedColumnFormula>ROUND(Tabla5121314_345182736[[#This Row],[Horas trabajadas]]*Tabla5121314_345182736[[#This Row],[Tarifas x Horas]],0)</calculatedColumnFormula>
    </tableColumn>
    <tableColumn id="8" xr3:uid="{18ECCBDD-598E-4679-B6E2-7EDC5129C0AD}" name="Bonif" dataDxfId="76"/>
    <tableColumn id="9" xr3:uid="{E45C9BB5-356B-4BDA-AA0B-7E2830E582D7}" name="Sal. Dev" dataDxfId="75">
      <calculatedColumnFormula>Tabla5121314_345182736[[#This Row],[A Cobrar]]+Tabla5121314_345182736[[#This Row],[Bonif]]</calculatedColumnFormula>
    </tableColumn>
    <tableColumn id="11" xr3:uid="{B7AFB1D5-334F-4892-AE76-7B2484EB4386}" name="Ausencias" dataDxfId="74"/>
    <tableColumn id="10" xr3:uid="{9C97E881-3A10-4426-8083-94CF0A7F5A5A}" name="Vacaciones" dataDxfId="73"/>
    <tableColumn id="13" xr3:uid="{D246D9A8-B68D-4D16-A720-EC2137B1F1C5}" name="pago x vacaciones" dataDxfId="72">
      <calculatedColumnFormula array="1">MMULT(Tabla5121314_345182736[[#This Row],[Tarifas x Horas]],8)*Tabla5121314_345182736[[#This Row],[Vacaciones]]</calculatedColumnFormula>
    </tableColumn>
    <tableColumn id="14" xr3:uid="{8DD3AA18-2974-418F-892F-3FBBC4999222}" name="Salario Neto" dataDxfId="71">
      <calculatedColumnFormula>Tabla5121314_345182736[[#This Row],[Sal. Dev]]-Tabla5121314_345182736[[#This Row],[Ausencias]]</calculatedColumnFormula>
    </tableColumn>
    <tableColumn id="15" xr3:uid="{0839F343-65E3-45B0-A0FC-03B771075330}" name="importe Seg Social" dataDxfId="70">
      <calculatedColumnFormula>5%*Tabla5121314_345182736[[#This Row],[Salario Neto]]</calculatedColumnFormula>
    </tableColumn>
    <tableColumn id="16" xr3:uid="{D53E0911-EDD4-4970-8A10-32C92FAFECFE}" name="Imp. Sobr. Ing. Per 3% (3260.00-9510.00)" dataDxfId="69"/>
    <tableColumn id="1" xr3:uid="{FBF84A1D-0F35-4045-B3C3-11180C045A4F}" name="Imp. Sobr. Ing. Per 5% (9510.00-15000.00)" dataDxfId="68"/>
    <tableColumn id="17" xr3:uid="{DA53422E-1520-44B8-9375-0A3A47A1FB04}" name="Salario a pagar" dataDxfId="67">
      <calculatedColumnFormula>Tabla5121314_345182736[[#This Row],[Sal. Dev]]-Tabla5121314_345182736[[#This Row],[Ausencias]]+Tabla5121314_345182736[[#This Row],[pago x vacaciones]]-Tabla5121314_345182736[[#This Row],[importe Seg Social]]-Tabla5121314_345182736[[#This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EF24FC0-A80D-4C36-816B-57134529E592}" name="Tabla5121314_3459192837" displayName="Tabla5121314_3459192837" ref="A188:P195" totalsRowShown="0" headerRowDxfId="66" dataDxfId="64" headerRowBorderDxfId="65">
  <autoFilter ref="A188:P195" xr:uid="{5466D56D-2757-4C30-A164-C713366DE637}"/>
  <tableColumns count="16">
    <tableColumn id="2" xr3:uid="{9DE3C8D4-A14B-4464-9564-0345E6882157}" name="No. Exp" dataDxfId="63"/>
    <tableColumn id="3" xr3:uid="{6FACE1C4-8A10-4A83-AC6E-1A6B821060FC}" name="Nombre y Apellido" dataDxfId="62">
      <calculatedColumnFormula>VLOOKUP(Tabla5121314_3459192837[[#This Row],[No. Exp]],Tabla6[],2)</calculatedColumnFormula>
    </tableColumn>
    <tableColumn id="4" xr3:uid="{8C99304D-D9B9-4391-8030-C9E41D6D7A4B}" name="C.I" dataDxfId="61">
      <calculatedColumnFormula>VLOOKUP(Tabla5121314_3459192837[[#This Row],[No. Exp]],Tabla6[],3)</calculatedColumnFormula>
    </tableColumn>
    <tableColumn id="5" xr3:uid="{B886921B-D789-458B-82B6-5014A2C70046}" name="Horas trabajadas" dataDxfId="60">
      <calculatedColumnFormula>M185</calculatedColumnFormula>
    </tableColumn>
    <tableColumn id="6" xr3:uid="{559C70AE-363F-49EC-B761-3758012E8CB8}" name="Tarifas x Horas" dataDxfId="59">
      <calculatedColumnFormula>VLOOKUP(Tabla5121314_3459192837[[#This Row],[No. Exp]],Tabla6[],5)</calculatedColumnFormula>
    </tableColumn>
    <tableColumn id="7" xr3:uid="{CAEDD312-A820-40A0-B14D-976CA6858201}" name="A Cobrar" dataDxfId="58">
      <calculatedColumnFormula>ROUND(Tabla5121314_3459192837[[#This Row],[Horas trabajadas]]*Tabla5121314_3459192837[[#This Row],[Tarifas x Horas]],0)</calculatedColumnFormula>
    </tableColumn>
    <tableColumn id="8" xr3:uid="{A4B8F437-0BF4-4ECF-9518-242846B881C3}" name="Bonif" dataDxfId="57"/>
    <tableColumn id="9" xr3:uid="{B6BE2655-2570-4884-8E4A-4E01902A7995}" name="Sal. Dev" dataDxfId="56">
      <calculatedColumnFormula>Tabla5121314_3459192837[[#This Row],[A Cobrar]]+Tabla5121314_3459192837[[#This Row],[Bonif]]</calculatedColumnFormula>
    </tableColumn>
    <tableColumn id="11" xr3:uid="{CC580A12-BF77-4DB1-BBBE-F9FF64A1CFB4}" name="Ausencias" dataDxfId="55"/>
    <tableColumn id="10" xr3:uid="{F7E19CCA-C765-4259-98D3-9198CCAA5B81}" name="Vacaciones" dataDxfId="54"/>
    <tableColumn id="13" xr3:uid="{2E595461-F805-4232-921A-835A3886A17E}" name="pago x vacaciones" dataDxfId="53">
      <calculatedColumnFormula array="1">MMULT(Tabla5121314_3459192837[[#This Row],[Tarifas x Horas]],8)*Tabla5121314_3459192837[[#This Row],[Vacaciones]]</calculatedColumnFormula>
    </tableColumn>
    <tableColumn id="14" xr3:uid="{EC53A468-3374-4651-9940-62F09A41541C}" name="Salario Neto" dataDxfId="52">
      <calculatedColumnFormula>Tabla5121314_3459192837[[#This Row],[Sal. Dev]]-Tabla5121314_3459192837[[#This Row],[Ausencias]]+Tabla5121314_3459192837[[#This Row],[pago x vacaciones]]</calculatedColumnFormula>
    </tableColumn>
    <tableColumn id="15" xr3:uid="{8FC074D2-DB7E-4150-B07E-5074530544A4}" name="importe Seg Social" dataDxfId="51">
      <calculatedColumnFormula>5%*Tabla5121314_3459192837[[#This Row],[Salario Neto]]</calculatedColumnFormula>
    </tableColumn>
    <tableColumn id="16" xr3:uid="{4B220894-E16F-49DD-B5E2-F7A5EA75B8DC}" name="Imp. Sobr. Ing. Per 3% (3260.00-9510.00)" dataDxfId="50"/>
    <tableColumn id="1" xr3:uid="{F89F7AEC-174F-47B7-8C08-E490D7CAF9B5}" name="Imp. Sobr. Ing. Per 5% (9510.00-15000.00)" dataDxfId="49"/>
    <tableColumn id="17" xr3:uid="{7AF1C5F7-A07A-444F-B554-DD7117A90446}" name="Salario a pagar" dataDxfId="48">
      <calculatedColumnFormula>Tabla5121314_3459192837[[#This Row],[Sal. Dev]]-Tabla5121314_3459192837[[#This Row],[Ausencias]]+Tabla5121314_3459192837[[#This Row],[pago x vacaciones]]-Tabla5121314_3459192837[[#This Row],[importe Seg Social]]-Tabla5121314_3459192837[[#This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324E169F-9C4E-4036-A209-49F09050610D}" name="Tabla5121314_34518202938" displayName="Tabla5121314_34518202938" ref="A216:P221" totalsRowShown="0" headerRowDxfId="47" dataDxfId="45" headerRowBorderDxfId="46">
  <autoFilter ref="A216:P221" xr:uid="{91D75944-5B7B-4F13-90FA-9B7C2F4923C6}"/>
  <tableColumns count="16">
    <tableColumn id="2" xr3:uid="{6E9417F5-4309-4652-B707-CA23CC11E3CB}" name="No. Exp" dataDxfId="44"/>
    <tableColumn id="3" xr3:uid="{E36CCA8E-4335-4381-B276-FF8A91B2F842}" name="Nombre y Apellido" dataDxfId="43">
      <calculatedColumnFormula>VLOOKUP(Tabla5121314_34518202938[[#This Row],[No. Exp]],Tabla6[],2)</calculatedColumnFormula>
    </tableColumn>
    <tableColumn id="4" xr3:uid="{B6859527-BFDF-4F10-BE07-76FA4F62C04F}" name="C.I" dataDxfId="42">
      <calculatedColumnFormula>VLOOKUP(Tabla5121314_34518202938[[#This Row],[No. Exp]],Tabla6[],3)</calculatedColumnFormula>
    </tableColumn>
    <tableColumn id="5" xr3:uid="{FE20F8AD-760C-4DA2-8918-68AB115BEEF0}" name="Horas trabajadas" dataDxfId="41">
      <calculatedColumnFormula>M213</calculatedColumnFormula>
    </tableColumn>
    <tableColumn id="6" xr3:uid="{12B28243-EB7F-4040-95B4-B050A7EE3242}" name="Tarifas x Horas" dataDxfId="40">
      <calculatedColumnFormula>VLOOKUP(Tabla5121314_34518202938[[#This Row],[No. Exp]],Tabla6[],5)</calculatedColumnFormula>
    </tableColumn>
    <tableColumn id="7" xr3:uid="{486C7CBE-6B61-4A50-BE44-4F007BAB9117}" name="A Cobrar" dataDxfId="39">
      <calculatedColumnFormula>ROUND(Tabla5121314_34518202938[[#This Row],[Horas trabajadas]]*Tabla5121314_34518202938[[#This Row],[Tarifas x Horas]],0)</calculatedColumnFormula>
    </tableColumn>
    <tableColumn id="8" xr3:uid="{C9193601-73AD-40A9-A3EC-5E88854BEDD2}" name="Bonif" dataDxfId="38"/>
    <tableColumn id="9" xr3:uid="{CEA8202C-88CF-4B8E-B8CF-A3A6F6F1600D}" name="Sal. Dev" dataDxfId="37">
      <calculatedColumnFormula>Tabla5121314_34518202938[[#This Row],[A Cobrar]]+Tabla5121314_34518202938[[#This Row],[Bonif]]</calculatedColumnFormula>
    </tableColumn>
    <tableColumn id="11" xr3:uid="{A6A173D6-6363-481D-88DE-AE001983F52E}" name="Ausencias" dataDxfId="36"/>
    <tableColumn id="10" xr3:uid="{8D0200AB-D3E2-430A-AB01-356D586F5303}" name="Vacaciones" dataDxfId="35"/>
    <tableColumn id="13" xr3:uid="{BCD6EDC9-9E36-4125-868E-B5280C1EA543}" name="pago x vacaciones" dataDxfId="34">
      <calculatedColumnFormula array="1">MMULT(Tabla5121314_34518202938[[#This Row],[Tarifas x Horas]],8)*Tabla5121314_34518202938[[#This Row],[Vacaciones]]</calculatedColumnFormula>
    </tableColumn>
    <tableColumn id="14" xr3:uid="{04CD177C-CAFC-4409-854F-04CF4976566E}" name="Salario Neto" dataDxfId="33">
      <calculatedColumnFormula>Tabla5121314_34518202938[[#This Row],[Sal. Dev]]-Tabla5121314_34518202938[[#This Row],[Ausencias]]</calculatedColumnFormula>
    </tableColumn>
    <tableColumn id="15" xr3:uid="{618A416F-146D-413E-89A1-F8C5F9C4F31F}" name="importe Seg Social" dataDxfId="32">
      <calculatedColumnFormula>5%*Tabla5121314_34518202938[[#This Row],[Salario Neto]]</calculatedColumnFormula>
    </tableColumn>
    <tableColumn id="16" xr3:uid="{2ED38B9E-2C9A-4C84-8FE1-AA70539265B9}" name="Imp. Sobr. Ing. Per 3% (3260.00-9510.00)" dataDxfId="31"/>
    <tableColumn id="1" xr3:uid="{2282E3FF-0516-427F-BF27-C24BFCCDDFB8}" name="Imp. Sobr. Ing. Per 5% (9510.00-15000.00)" dataDxfId="30"/>
    <tableColumn id="17" xr3:uid="{39FC3663-9C2E-40B8-8B11-644C84467786}" name="Salario a pagar" dataDxfId="29">
      <calculatedColumnFormula>Tabla5121314_34518202938[[#This Row],[Sal. Dev]]-Tabla5121314_34518202938[[#This Row],[Ausencias]]+Tabla5121314_34518202938[[#This Row],[pago x vacaciones]]-Tabla5121314_34518202938[[#This Row],[importe Seg Social]]-Tabla5121314_34518202938[[#This Row],[Imp. Sobr. Ing. Per 3% (3260.00-9510.00)]]</calculatedColumnFormula>
    </tableColumn>
  </tableColumns>
  <tableStyleInfo name="TableStyleLight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A3:N111" totalsRowCount="1">
  <autoFilter ref="A3:N110" xr:uid="{00000000-0009-0000-0100-000007000000}"/>
  <tableColumns count="14">
    <tableColumn id="1" xr3:uid="{00000000-0010-0000-0700-000001000000}" name="No. Exp" dataDxfId="28" totalsRowDxfId="27"/>
    <tableColumn id="2" xr3:uid="{00000000-0010-0000-0700-000002000000}" name="Nombre y Apellido" dataDxfId="26" totalsRowDxfId="25">
      <calculatedColumnFormula>VLOOKUP(Tabla7[[#This Row],[No. Exp]],Tabla6[],2)</calculatedColumnFormula>
    </tableColumn>
    <tableColumn id="3" xr3:uid="{00000000-0010-0000-0700-000003000000}" name="Dias. Vacaciones Acumuladas" dataDxfId="24" totalsRowDxfId="23">
      <calculatedColumnFormula>(Tabla7[[#This Row],[noviembre]]*2.18)+#REF!-#REF!</calculatedColumnFormula>
    </tableColumn>
    <tableColumn id="4" xr3:uid="{00000000-0010-0000-0700-000004000000}" name="Salario. Acumulado" dataDxfId="22" totalsRowDxfId="21">
      <calculatedColumnFormula>5726.7+Tabla7[[#This Row],[octubre]]</calculatedColumnFormula>
    </tableColumn>
    <tableColumn id="11" xr3:uid="{AF0F6FD2-F044-4B8B-AC0D-F43C72485406}" name="octubre" dataDxfId="20" totalsRowDxfId="19"/>
    <tableColumn id="8" xr3:uid="{C7C7446B-CA28-421C-80AC-63AE1B35865E}" name="octubre2" dataDxfId="18" totalsRowDxfId="17"/>
    <tableColumn id="5" xr3:uid="{00000000-0010-0000-0700-000005000000}" name="noviembre" dataDxfId="16" totalsRowDxfId="15"/>
    <tableColumn id="7" xr3:uid="{D4458210-1F25-44EF-9C21-6DEFCFA099E9}" name="noviembre2" dataDxfId="14" totalsRowDxfId="13"/>
    <tableColumn id="6" xr3:uid="{00000000-0010-0000-0700-000006000000}" name="diciembre" dataDxfId="12" totalsRowDxfId="11">
      <calculatedColumnFormula>VLOOKUP(Tabla7[[#This Row],[No. Exp]],Tabla6[],5)</calculatedColumnFormula>
    </tableColumn>
    <tableColumn id="9" xr3:uid="{D639632B-555E-490E-BE47-77281585DFEF}" name="diciembre2" dataDxfId="10" totalsRowDxfId="9"/>
    <tableColumn id="10" xr3:uid="{EE1BDB3B-3110-4507-B2F3-B0E9DDA54A27}" name="enero 2026" dataDxfId="8" totalsRowDxfId="7"/>
    <tableColumn id="12" xr3:uid="{97C2262F-BEEC-4C85-A5A1-863EF4CBB03A}" name="enero 20262" dataDxfId="6" totalsRowDxfId="5"/>
    <tableColumn id="13" xr3:uid="{DD2A4D14-AED8-4CE8-887D-8A232C4B9879}" name="febrero 2026" dataDxfId="4" totalsRowDxfId="3"/>
    <tableColumn id="14" xr3:uid="{B5301658-487D-4CA2-9E5D-4702ED51DF1E}" name="febrero2026" dataDxfId="2" totalsRowDxfId="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Tabla6" displayName="Tabla6" ref="A2:E118" totalsRowShown="0">
  <autoFilter ref="A2:E118" xr:uid="{00000000-0009-0000-0100-000006000000}"/>
  <tableColumns count="5">
    <tableColumn id="1" xr3:uid="{00000000-0010-0000-0800-000001000000}" name="No exp"/>
    <tableColumn id="2" xr3:uid="{00000000-0010-0000-0800-000002000000}" name="Nombre y Apellido"/>
    <tableColumn id="6" xr3:uid="{00000000-0010-0000-0800-000006000000}" name="C.I"/>
    <tableColumn id="3" xr3:uid="{00000000-0010-0000-0800-000003000000}" name="Cargo"/>
    <tableColumn id="4" xr3:uid="{00000000-0010-0000-0800-000004000000}" name="Tarif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11" Type="http://schemas.openxmlformats.org/officeDocument/2006/relationships/table" Target="../tables/table17.xml"/><Relationship Id="rId5" Type="http://schemas.openxmlformats.org/officeDocument/2006/relationships/table" Target="../tables/table11.xml"/><Relationship Id="rId10" Type="http://schemas.openxmlformats.org/officeDocument/2006/relationships/table" Target="../tables/table16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3.xml"/><Relationship Id="rId3" Type="http://schemas.openxmlformats.org/officeDocument/2006/relationships/table" Target="../tables/table18.xml"/><Relationship Id="rId7" Type="http://schemas.openxmlformats.org/officeDocument/2006/relationships/table" Target="../tables/table2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21.xml"/><Relationship Id="rId5" Type="http://schemas.openxmlformats.org/officeDocument/2006/relationships/table" Target="../tables/table20.xml"/><Relationship Id="rId10" Type="http://schemas.openxmlformats.org/officeDocument/2006/relationships/table" Target="../tables/table25.xml"/><Relationship Id="rId4" Type="http://schemas.openxmlformats.org/officeDocument/2006/relationships/table" Target="../tables/table19.xml"/><Relationship Id="rId9" Type="http://schemas.openxmlformats.org/officeDocument/2006/relationships/table" Target="../tables/table2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2.xml"/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11" Type="http://schemas.openxmlformats.org/officeDocument/2006/relationships/table" Target="../tables/table35.xml"/><Relationship Id="rId5" Type="http://schemas.openxmlformats.org/officeDocument/2006/relationships/table" Target="../tables/table29.xml"/><Relationship Id="rId10" Type="http://schemas.openxmlformats.org/officeDocument/2006/relationships/table" Target="../tables/table34.xml"/><Relationship Id="rId4" Type="http://schemas.openxmlformats.org/officeDocument/2006/relationships/table" Target="../tables/table28.xml"/><Relationship Id="rId9" Type="http://schemas.openxmlformats.org/officeDocument/2006/relationships/table" Target="../tables/table3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10"/>
  <sheetViews>
    <sheetView showZeros="0" view="pageBreakPreview" topLeftCell="A76" zoomScale="60" zoomScaleNormal="77" workbookViewId="0">
      <selection activeCell="B64" sqref="B64"/>
    </sheetView>
  </sheetViews>
  <sheetFormatPr baseColWidth="10" defaultColWidth="8.84375" defaultRowHeight="14.6"/>
  <cols>
    <col min="1" max="1" width="5.84375" style="36" customWidth="1"/>
    <col min="2" max="2" width="31.69140625" style="36" customWidth="1"/>
    <col min="3" max="3" width="32.3046875" style="36" customWidth="1"/>
    <col min="4" max="4" width="16.3828125" style="36" customWidth="1"/>
    <col min="5" max="5" width="13.84375" style="36" customWidth="1"/>
    <col min="6" max="6" width="14.53515625" style="36" customWidth="1"/>
    <col min="7" max="7" width="8.84375" style="36" customWidth="1"/>
    <col min="8" max="8" width="13.53515625" style="36" customWidth="1"/>
    <col min="9" max="9" width="10.3046875" style="36" customWidth="1"/>
    <col min="10" max="10" width="13.61328125" style="36" customWidth="1"/>
    <col min="11" max="11" width="13.765625" style="36" customWidth="1"/>
    <col min="12" max="12" width="11" style="36" customWidth="1"/>
    <col min="13" max="13" width="11.69140625" style="36" customWidth="1"/>
    <col min="14" max="14" width="12.69140625" style="36" customWidth="1"/>
    <col min="15" max="15" width="16.3046875" style="36" customWidth="1"/>
    <col min="16" max="16" width="11.3046875" style="36" customWidth="1"/>
    <col min="17" max="16384" width="8.84375" style="36"/>
  </cols>
  <sheetData>
    <row r="1" spans="1:16" ht="1.5" customHeight="1"/>
    <row r="2" spans="1:16" ht="9" hidden="1" customHeight="1"/>
    <row r="3" spans="1:16" hidden="1"/>
    <row r="4" spans="1:16" ht="37.5" hidden="1" customHeight="1"/>
    <row r="5" spans="1:16" ht="18.45">
      <c r="A5" s="453" t="s">
        <v>0</v>
      </c>
      <c r="B5" s="453"/>
      <c r="C5" s="37"/>
      <c r="D5" s="37"/>
      <c r="I5" s="33" t="s">
        <v>1</v>
      </c>
      <c r="J5" s="33" t="s">
        <v>2</v>
      </c>
      <c r="K5" s="127">
        <f>K38</f>
        <v>45901</v>
      </c>
      <c r="L5" s="50" t="s">
        <v>3</v>
      </c>
      <c r="M5" s="127">
        <f>M38</f>
        <v>45930</v>
      </c>
      <c r="N5" s="33"/>
    </row>
    <row r="6" spans="1:16">
      <c r="A6" s="449" t="s">
        <v>4</v>
      </c>
      <c r="B6" s="449"/>
      <c r="C6" s="126" t="s">
        <v>223</v>
      </c>
    </row>
    <row r="7" spans="1:16">
      <c r="A7" s="449" t="s">
        <v>5</v>
      </c>
      <c r="B7" s="449"/>
      <c r="C7" s="39"/>
      <c r="L7" s="36" t="s">
        <v>6</v>
      </c>
      <c r="M7" s="38">
        <v>192</v>
      </c>
    </row>
    <row r="9" spans="1:16" ht="18.45">
      <c r="A9" s="452" t="s">
        <v>7</v>
      </c>
      <c r="B9" s="452"/>
      <c r="C9" s="28" t="s">
        <v>8</v>
      </c>
      <c r="L9" s="449" t="s">
        <v>9</v>
      </c>
      <c r="M9" s="449"/>
    </row>
    <row r="10" spans="1:16" s="92" customFormat="1" ht="27" customHeight="1">
      <c r="A10" s="87" t="s">
        <v>10</v>
      </c>
      <c r="B10" s="87" t="s">
        <v>11</v>
      </c>
      <c r="C10" s="87" t="s">
        <v>12</v>
      </c>
      <c r="D10" s="90" t="s">
        <v>198</v>
      </c>
      <c r="E10" s="87" t="s">
        <v>192</v>
      </c>
      <c r="F10" s="90" t="s">
        <v>189</v>
      </c>
      <c r="G10" s="87" t="s">
        <v>14</v>
      </c>
      <c r="H10" s="89" t="s">
        <v>15</v>
      </c>
      <c r="I10" s="90" t="s">
        <v>197</v>
      </c>
      <c r="J10" s="87" t="s">
        <v>9</v>
      </c>
      <c r="K10" s="87" t="s">
        <v>16</v>
      </c>
      <c r="L10" s="87" t="s">
        <v>196</v>
      </c>
      <c r="M10" s="87" t="s">
        <v>194</v>
      </c>
      <c r="N10" s="87" t="s">
        <v>195</v>
      </c>
      <c r="O10" s="91" t="s">
        <v>191</v>
      </c>
    </row>
    <row r="11" spans="1:16" s="33" customFormat="1" ht="15.9">
      <c r="A11" s="36">
        <v>1</v>
      </c>
      <c r="B11" s="78" t="str">
        <f>VLOOKUP(Tabla5[[#This Row],[No. Exp]],Tabla6[],2)</f>
        <v xml:space="preserve">Michel García Izquierdo </v>
      </c>
      <c r="C11" s="33">
        <f>VLOOKUP(Tabla5[[#This Row],[No. Exp]],Tabla6[],3)</f>
        <v>87032201867</v>
      </c>
      <c r="D11" s="41">
        <f>M7</f>
        <v>192</v>
      </c>
      <c r="E11" s="41">
        <f>VLOOKUP(Tabla5[[#This Row],[No. Exp]],Tabla6[],5)</f>
        <v>46.875</v>
      </c>
      <c r="F11" s="40">
        <f>ROUND(Tabla5[[#This Row],[Horas Trabajadas]]*Tabla5[[#This Row],[Tarifas por Horas]],0)</f>
        <v>9000</v>
      </c>
      <c r="G11" s="40"/>
      <c r="H11" s="51">
        <f>Tabla5[[#This Row],[Salario Básico]]+Tabla5[[#This Row],[Bonif]]</f>
        <v>9000</v>
      </c>
      <c r="I11" s="51"/>
      <c r="J11" s="52"/>
      <c r="K11" s="40" cm="1">
        <f t="array" ref="K11">MMULT(Tabla5[[#This Row],[Tarifas por Horas]],8)*Tabla5[[#This Row],[Vacaciones]]</f>
        <v>0</v>
      </c>
      <c r="L11" s="40">
        <f>Tabla5[[#This Row],[Sal. Dev]]-Tabla5[[#This Row],[Ausencias]]+Tabla5[[#This Row],[pago x vacaciones]]</f>
        <v>9000</v>
      </c>
      <c r="M11" s="40">
        <f>5%*Tabla5[[#This Row],[Salario Neto]]</f>
        <v>450</v>
      </c>
      <c r="N11" s="42" cm="1">
        <f t="array" ref="N11">MMULT(3.125%,Tabla5[[#This Row],[Salario Neto]])</f>
        <v>281.25</v>
      </c>
      <c r="O11" s="74">
        <f>Tabla5[[#This Row],[Sal. Dev]]-Tabla5[[#This Row],[Ausencias]]+Tabla5[[#This Row],[pago x vacaciones]]-Tabla5[[#This Row],[importe Seg Social]]-Tabla5[[#This Row],[importe Ing Pers]]</f>
        <v>8268.75</v>
      </c>
      <c r="P11" s="40"/>
    </row>
    <row r="12" spans="1:16" ht="21" customHeight="1">
      <c r="A12" s="36">
        <v>2</v>
      </c>
      <c r="B12" s="79" t="str">
        <f>VLOOKUP(Tabla5[[#This Row],[No. Exp]],Tabla6[],2)</f>
        <v>Mabel Molina Fajardo</v>
      </c>
      <c r="C12" s="33">
        <f>VLOOKUP(Tabla5[[#This Row],[No. Exp]],Tabla6[],3)</f>
        <v>84100406736</v>
      </c>
      <c r="D12" s="42">
        <f>D11</f>
        <v>192</v>
      </c>
      <c r="E12" s="42">
        <f>VLOOKUP(Tabla5[[#This Row],[No. Exp]],Tabla6[],5)</f>
        <v>46.875</v>
      </c>
      <c r="F12" s="40">
        <f>ROUND(Tabla5[[#This Row],[Horas Trabajadas]]*Tabla5[[#This Row],[Tarifas por Horas]],0)</f>
        <v>9000</v>
      </c>
      <c r="G12" s="40"/>
      <c r="H12" s="51">
        <f>Tabla5[[#This Row],[Salario Básico]]+Tabla5[[#This Row],[Bonif]]</f>
        <v>9000</v>
      </c>
      <c r="I12" s="51">
        <f>E8</f>
        <v>0</v>
      </c>
      <c r="J12" s="52">
        <v>8</v>
      </c>
      <c r="K12" s="40" cm="1">
        <f t="array" ref="K12">MMULT(Tabla5[[#This Row],[Tarifas por Horas]],8)*Tabla5[[#This Row],[Vacaciones]]</f>
        <v>3000</v>
      </c>
      <c r="L12" s="40">
        <f>Tabla5[[#This Row],[Sal. Dev]]-Tabla5[[#This Row],[Ausencias]]+Tabla5[[#This Row],[pago x vacaciones]]</f>
        <v>12000</v>
      </c>
      <c r="M12" s="40">
        <f>5%*Tabla5[[#This Row],[Salario Neto]]</f>
        <v>600</v>
      </c>
      <c r="N12" s="42" cm="1">
        <f t="array" ref="N12">MMULT(3.125%,Tabla5[[#This Row],[Salario Neto]])</f>
        <v>375</v>
      </c>
      <c r="O12" s="74">
        <f>Tabla5[[#This Row],[Sal. Dev]]-Tabla5[[#This Row],[Ausencias]]+Tabla5[[#This Row],[pago x vacaciones]]-Tabla5[[#This Row],[importe Seg Social]]-Tabla5[[#This Row],[importe Ing Pers]]</f>
        <v>11025</v>
      </c>
    </row>
    <row r="13" spans="1:16" ht="26.25" customHeight="1">
      <c r="A13" s="36">
        <v>3</v>
      </c>
      <c r="B13" s="79" t="str">
        <f>VLOOKUP(Tabla5[[#This Row],[No. Exp]],Tabla6[],2)</f>
        <v>Yanet González Rodríguez</v>
      </c>
      <c r="C13" s="33">
        <f>VLOOKUP(Tabla5[[#This Row],[No. Exp]],Tabla6[],3)</f>
        <v>90081132492</v>
      </c>
      <c r="D13" s="42">
        <f t="shared" ref="D13:D25" si="0">D12</f>
        <v>192</v>
      </c>
      <c r="E13" s="42">
        <f>VLOOKUP(Tabla5[[#This Row],[No. Exp]],Tabla6[],5)</f>
        <v>46.875</v>
      </c>
      <c r="F13" s="40">
        <f>ROUND(Tabla5[[#This Row],[Horas Trabajadas]]*Tabla5[[#This Row],[Tarifas por Horas]],0)</f>
        <v>9000</v>
      </c>
      <c r="G13" s="40"/>
      <c r="H13" s="51">
        <f>Tabla5[[#This Row],[Salario Básico]]+Tabla5[[#This Row],[Bonif]]</f>
        <v>9000</v>
      </c>
      <c r="I13" s="53">
        <f>E9</f>
        <v>0</v>
      </c>
      <c r="J13" s="52"/>
      <c r="K13" s="40" cm="1">
        <f t="array" ref="K13">MMULT(Tabla5[[#This Row],[Tarifas por Horas]],8)*Tabla5[[#This Row],[Vacaciones]]</f>
        <v>0</v>
      </c>
      <c r="L13" s="40">
        <f>Tabla5[[#This Row],[Sal. Dev]]-Tabla5[[#This Row],[Ausencias]]+Tabla5[[#This Row],[pago x vacaciones]]</f>
        <v>9000</v>
      </c>
      <c r="M13" s="40">
        <f>5%*Tabla5[[#This Row],[Salario Neto]]</f>
        <v>450</v>
      </c>
      <c r="N13" s="42" cm="1">
        <f t="array" ref="N13">MMULT(3.125%,Tabla5[[#This Row],[Salario Neto]])</f>
        <v>281.25</v>
      </c>
      <c r="O13" s="74">
        <f>Tabla5[[#This Row],[Sal. Dev]]-Tabla5[[#This Row],[Ausencias]]+Tabla5[[#This Row],[pago x vacaciones]]-Tabla5[[#This Row],[importe Seg Social]]-Tabla5[[#This Row],[importe Ing Pers]]</f>
        <v>8268.75</v>
      </c>
    </row>
    <row r="14" spans="1:16" ht="30.75" customHeight="1">
      <c r="A14" s="36">
        <v>4</v>
      </c>
      <c r="B14" s="79" t="str">
        <f>VLOOKUP(Tabla5[[#This Row],[No. Exp]],Tabla6[],2)</f>
        <v>Patricia San Gabino Delgado</v>
      </c>
      <c r="C14" s="33">
        <f>VLOOKUP(Tabla5[[#This Row],[No. Exp]],Tabla6[],3)</f>
        <v>90022032253</v>
      </c>
      <c r="D14" s="42">
        <f t="shared" si="0"/>
        <v>192</v>
      </c>
      <c r="E14" s="42">
        <f>VLOOKUP(Tabla5[[#This Row],[No. Exp]],Tabla6[],5)</f>
        <v>46.875</v>
      </c>
      <c r="F14" s="40">
        <f>ROUND(Tabla5[[#This Row],[Horas Trabajadas]]*Tabla5[[#This Row],[Tarifas por Horas]],0)</f>
        <v>9000</v>
      </c>
      <c r="G14" s="40"/>
      <c r="H14" s="51">
        <f>Tabla5[[#This Row],[Salario Básico]]+Tabla5[[#This Row],[Bonif]]</f>
        <v>9000</v>
      </c>
      <c r="I14" s="53"/>
      <c r="J14" s="52"/>
      <c r="K14" s="40" cm="1">
        <f t="array" ref="K14">MMULT(Tabla5[[#This Row],[Tarifas por Horas]],8)*Tabla5[[#This Row],[Vacaciones]]</f>
        <v>0</v>
      </c>
      <c r="L14" s="40">
        <f>Tabla5[[#This Row],[Sal. Dev]]-Tabla5[[#This Row],[Ausencias]]+Tabla5[[#This Row],[pago x vacaciones]]</f>
        <v>9000</v>
      </c>
      <c r="M14" s="40">
        <f>5%*Tabla5[[#This Row],[Salario Neto]]</f>
        <v>450</v>
      </c>
      <c r="N14" s="42" cm="1">
        <f t="array" ref="N14">MMULT(3.125%,Tabla5[[#This Row],[Salario Neto]])</f>
        <v>281.25</v>
      </c>
      <c r="O14" s="74">
        <f>Tabla5[[#This Row],[Sal. Dev]]-Tabla5[[#This Row],[Ausencias]]+Tabla5[[#This Row],[pago x vacaciones]]-Tabla5[[#This Row],[importe Seg Social]]-Tabla5[[#This Row],[importe Ing Pers]]</f>
        <v>8268.75</v>
      </c>
    </row>
    <row r="15" spans="1:16" ht="25.5" customHeight="1">
      <c r="A15" s="36">
        <v>6</v>
      </c>
      <c r="B15" s="79" t="str">
        <f>VLOOKUP(Tabla5[[#This Row],[No. Exp]],Tabla6[],2)</f>
        <v>Amanda Miguel Marcano Bahler</v>
      </c>
      <c r="C15" s="33" t="str">
        <f>VLOOKUP(Tabla5[[#This Row],[No. Exp]],Tabla6[],3)</f>
        <v>00122868475</v>
      </c>
      <c r="D15" s="42">
        <f t="shared" si="0"/>
        <v>192</v>
      </c>
      <c r="E15" s="42">
        <f>VLOOKUP(Tabla5[[#This Row],[No. Exp]],Tabla6[],5)</f>
        <v>46.875</v>
      </c>
      <c r="F15" s="40">
        <f>ROUND(Tabla5[[#This Row],[Horas Trabajadas]]*Tabla5[[#This Row],[Tarifas por Horas]],0)</f>
        <v>9000</v>
      </c>
      <c r="G15" s="40"/>
      <c r="H15" s="56">
        <f>Tabla5[[#This Row],[Salario Básico]]+Tabla5[[#This Row],[Bonif]]</f>
        <v>9000</v>
      </c>
      <c r="I15" s="53"/>
      <c r="J15" s="52"/>
      <c r="K15" s="40" cm="1">
        <f t="array" ref="K15">MMULT(Tabla5[[#This Row],[Tarifas por Horas]],8)*Tabla5[[#This Row],[Vacaciones]]</f>
        <v>0</v>
      </c>
      <c r="L15" s="40">
        <f>Tabla5[[#This Row],[Sal. Dev]]-Tabla5[[#This Row],[Ausencias]]+Tabla5[[#This Row],[pago x vacaciones]]</f>
        <v>9000</v>
      </c>
      <c r="M15" s="40">
        <f>5%*Tabla5[[#This Row],[Salario Neto]]</f>
        <v>450</v>
      </c>
      <c r="N15" s="42" cm="1">
        <f t="array" ref="N15">MMULT(3.125%,Tabla5[[#This Row],[Salario Neto]])</f>
        <v>281.25</v>
      </c>
      <c r="O15" s="74">
        <f>Tabla5[[#This Row],[Sal. Dev]]-Tabla5[[#This Row],[Ausencias]]+Tabla5[[#This Row],[pago x vacaciones]]-Tabla5[[#This Row],[importe Seg Social]]-Tabla5[[#This Row],[importe Ing Pers]]</f>
        <v>8268.75</v>
      </c>
    </row>
    <row r="16" spans="1:16" ht="18.75" customHeight="1">
      <c r="A16" s="36">
        <v>7</v>
      </c>
      <c r="B16" s="79" t="str">
        <f>VLOOKUP(Tabla5[[#This Row],[No. Exp]],Tabla6[],2)</f>
        <v>Heidy Allen Valdéz</v>
      </c>
      <c r="C16" s="33" t="str">
        <f>VLOOKUP(Tabla5[[#This Row],[No. Exp]],Tabla6[],3)</f>
        <v>91090328651</v>
      </c>
      <c r="D16" s="42">
        <f t="shared" si="0"/>
        <v>192</v>
      </c>
      <c r="E16" s="42">
        <f>VLOOKUP(Tabla5[[#This Row],[No. Exp]],Tabla6[],5)</f>
        <v>46.875</v>
      </c>
      <c r="F16" s="40">
        <f>ROUND(Tabla5[[#This Row],[Horas Trabajadas]]*Tabla5[[#This Row],[Tarifas por Horas]],0)</f>
        <v>9000</v>
      </c>
      <c r="G16" s="40"/>
      <c r="H16" s="56">
        <f>Tabla5[[#This Row],[Salario Básico]]+Tabla5[[#This Row],[Bonif]]</f>
        <v>9000</v>
      </c>
      <c r="I16" s="53"/>
      <c r="J16" s="52"/>
      <c r="K16" s="40" cm="1">
        <f t="array" ref="K16">MMULT(Tabla5[[#This Row],[Tarifas por Horas]],8)*Tabla5[[#This Row],[Vacaciones]]</f>
        <v>0</v>
      </c>
      <c r="L16" s="40">
        <f>Tabla5[[#This Row],[Sal. Dev]]-Tabla5[[#This Row],[Ausencias]]+Tabla5[[#This Row],[pago x vacaciones]]</f>
        <v>9000</v>
      </c>
      <c r="M16" s="40">
        <f>5%*Tabla5[[#This Row],[Salario Neto]]</f>
        <v>450</v>
      </c>
      <c r="N16" s="42" cm="1">
        <f t="array" ref="N16">MMULT(3.125%,Tabla5[[#This Row],[Salario Neto]])</f>
        <v>281.25</v>
      </c>
      <c r="O16" s="74">
        <f>Tabla5[[#This Row],[Sal. Dev]]-Tabla5[[#This Row],[Ausencias]]+Tabla5[[#This Row],[pago x vacaciones]]-Tabla5[[#This Row],[importe Seg Social]]-Tabla5[[#This Row],[importe Ing Pers]]</f>
        <v>8268.75</v>
      </c>
    </row>
    <row r="17" spans="1:15" ht="27.75" customHeight="1">
      <c r="A17" s="36">
        <v>8</v>
      </c>
      <c r="B17" s="79" t="str">
        <f>VLOOKUP(Tabla5[[#This Row],[No. Exp]],Tabla6[],2)</f>
        <v>Carlos Alberto García Lorente</v>
      </c>
      <c r="C17" s="33">
        <f>VLOOKUP(Tabla5[[#This Row],[No. Exp]],Tabla6[],3)</f>
        <v>63091617120</v>
      </c>
      <c r="D17" s="42">
        <f t="shared" si="0"/>
        <v>192</v>
      </c>
      <c r="E17" s="42">
        <f>VLOOKUP(Tabla5[[#This Row],[No. Exp]],Tabla6[],5)</f>
        <v>46.875</v>
      </c>
      <c r="F17" s="40">
        <f>ROUND(Tabla5[[#This Row],[Horas Trabajadas]]*Tabla5[[#This Row],[Tarifas por Horas]],0)</f>
        <v>9000</v>
      </c>
      <c r="G17" s="40"/>
      <c r="H17" s="56">
        <f>Tabla5[[#This Row],[Salario Básico]]+Tabla5[[#This Row],[Bonif]]</f>
        <v>9000</v>
      </c>
      <c r="I17" s="53"/>
      <c r="J17" s="52"/>
      <c r="K17" s="40" cm="1">
        <f t="array" ref="K17">MMULT(Tabla5[[#This Row],[Tarifas por Horas]],8)*Tabla5[[#This Row],[Vacaciones]]</f>
        <v>0</v>
      </c>
      <c r="L17" s="40">
        <f>Tabla5[[#This Row],[Sal. Dev]]-Tabla5[[#This Row],[Ausencias]]+Tabla5[[#This Row],[pago x vacaciones]]</f>
        <v>9000</v>
      </c>
      <c r="M17" s="40">
        <f>5%*Tabla5[[#This Row],[Salario Neto]]</f>
        <v>450</v>
      </c>
      <c r="N17" s="42" cm="1">
        <f t="array" ref="N17">MMULT(3.125%,Tabla5[[#This Row],[Salario Neto]])</f>
        <v>281.25</v>
      </c>
      <c r="O17" s="74">
        <f>Tabla5[[#This Row],[Sal. Dev]]-Tabla5[[#This Row],[Ausencias]]+Tabla5[[#This Row],[pago x vacaciones]]-Tabla5[[#This Row],[importe Seg Social]]-Tabla5[[#This Row],[importe Ing Pers]]</f>
        <v>8268.75</v>
      </c>
    </row>
    <row r="18" spans="1:15" ht="15.9" hidden="1">
      <c r="A18" s="40"/>
      <c r="B18" s="79" t="e">
        <f>VLOOKUP(Tabla5[[#This Row],[No. Exp]],Tabla6[],2)</f>
        <v>#N/A</v>
      </c>
      <c r="C18" s="33" t="e">
        <f>VLOOKUP(Tabla5[[#This Row],[No. Exp]],Tabla6[],3)</f>
        <v>#N/A</v>
      </c>
      <c r="D18" s="42">
        <f t="shared" si="0"/>
        <v>192</v>
      </c>
      <c r="E18" s="42" t="e">
        <f>VLOOKUP(Tabla5[[#This Row],[No. Exp]],Tabla6[],5)</f>
        <v>#N/A</v>
      </c>
      <c r="F18" s="40" t="e">
        <f>ROUND(Tabla5[[#This Row],[Horas Trabajadas]]*Tabla5[[#This Row],[Tarifas por Horas]],0)</f>
        <v>#N/A</v>
      </c>
      <c r="G18" s="40"/>
      <c r="H18" s="56" t="e">
        <f>Tabla5[[#This Row],[Salario Básico]]+Tabla5[[#This Row],[Bonif]]</f>
        <v>#N/A</v>
      </c>
      <c r="I18" s="53" t="e">
        <f>#REF!</f>
        <v>#REF!</v>
      </c>
      <c r="J18" s="52"/>
      <c r="K18" s="40" t="e" cm="1">
        <f t="array" ref="K18">MMULT(Tabla5[[#This Row],[Tarifas por Horas]],8)*Tabla5[[#This Row],[Vacaciones]]</f>
        <v>#N/A</v>
      </c>
      <c r="L18" s="40" t="e">
        <f>Tabla5[[#This Row],[Sal. Dev]]-Tabla5[[#This Row],[Ausencias]]+Tabla5[[#This Row],[pago x vacaciones]]</f>
        <v>#N/A</v>
      </c>
      <c r="M18" s="40" t="e">
        <f>5%*Tabla5[[#This Row],[Salario Neto]]</f>
        <v>#N/A</v>
      </c>
      <c r="N18" s="42" t="e" cm="1">
        <f t="array" ref="N18">MMULT(3.125%,Tabla5[[#This Row],[Salario Neto]])</f>
        <v>#N/A</v>
      </c>
      <c r="O18" s="74" t="e">
        <f>Tabla5[[#This Row],[Sal. Dev]]-Tabla5[[#This Row],[Ausencias]]+Tabla5[[#This Row],[pago x vacaciones]]-Tabla5[[#This Row],[importe Seg Social]]-Tabla5[[#This Row],[importe Ing Pers]]</f>
        <v>#N/A</v>
      </c>
    </row>
    <row r="19" spans="1:15" ht="15.9" hidden="1">
      <c r="A19" s="40"/>
      <c r="B19" s="79" t="e">
        <f>VLOOKUP(Tabla5[[#This Row],[No. Exp]],Tabla6[],2)</f>
        <v>#N/A</v>
      </c>
      <c r="C19" s="33" t="e">
        <f>VLOOKUP(Tabla5[[#This Row],[No. Exp]],Tabla6[],3)</f>
        <v>#N/A</v>
      </c>
      <c r="D19" s="42">
        <f t="shared" si="0"/>
        <v>192</v>
      </c>
      <c r="E19" s="42" t="e">
        <f>VLOOKUP(Tabla5[[#This Row],[No. Exp]],Tabla6[],5)</f>
        <v>#N/A</v>
      </c>
      <c r="F19" s="40" t="e">
        <f>ROUND(Tabla5[[#This Row],[Horas Trabajadas]]*Tabla5[[#This Row],[Tarifas por Horas]],0)</f>
        <v>#N/A</v>
      </c>
      <c r="G19" s="40"/>
      <c r="H19" s="56" t="e">
        <f>Tabla5[[#This Row],[Salario Básico]]+Tabla5[[#This Row],[Bonif]]</f>
        <v>#N/A</v>
      </c>
      <c r="I19" s="53">
        <f t="shared" ref="I19:I25" si="1">D15</f>
        <v>192</v>
      </c>
      <c r="J19" s="52"/>
      <c r="K19" s="40" t="e" cm="1">
        <f t="array" ref="K19">MMULT(Tabla5[[#This Row],[Tarifas por Horas]],8)*Tabla5[[#This Row],[Vacaciones]]</f>
        <v>#N/A</v>
      </c>
      <c r="L19" s="40" t="e">
        <f>Tabla5[[#This Row],[Sal. Dev]]-Tabla5[[#This Row],[Ausencias]]+Tabla5[[#This Row],[pago x vacaciones]]</f>
        <v>#N/A</v>
      </c>
      <c r="M19" s="40" t="e">
        <f>5%*Tabla5[[#This Row],[Salario Neto]]</f>
        <v>#N/A</v>
      </c>
      <c r="N19" s="42" t="e" cm="1">
        <f t="array" ref="N19">MMULT(3.125%,Tabla5[[#This Row],[Salario Neto]])</f>
        <v>#N/A</v>
      </c>
      <c r="O19" s="74" t="e">
        <f>Tabla5[[#This Row],[Sal. Dev]]-Tabla5[[#This Row],[Ausencias]]+Tabla5[[#This Row],[pago x vacaciones]]-Tabla5[[#This Row],[importe Seg Social]]-Tabla5[[#This Row],[importe Ing Pers]]</f>
        <v>#N/A</v>
      </c>
    </row>
    <row r="20" spans="1:15" ht="15.9" hidden="1">
      <c r="A20" s="40"/>
      <c r="B20" s="79" t="e">
        <f>VLOOKUP(Tabla5[[#This Row],[No. Exp]],Tabla6[],2)</f>
        <v>#N/A</v>
      </c>
      <c r="C20" s="33" t="e">
        <f>VLOOKUP(Tabla5[[#This Row],[No. Exp]],Tabla6[],3)</f>
        <v>#N/A</v>
      </c>
      <c r="D20" s="42">
        <f t="shared" si="0"/>
        <v>192</v>
      </c>
      <c r="E20" s="42" t="e">
        <f>VLOOKUP(Tabla5[[#This Row],[No. Exp]],Tabla6[],5)</f>
        <v>#N/A</v>
      </c>
      <c r="F20" s="40" t="e">
        <f>ROUND(Tabla5[[#This Row],[Horas Trabajadas]]*Tabla5[[#This Row],[Tarifas por Horas]],0)</f>
        <v>#N/A</v>
      </c>
      <c r="G20" s="40"/>
      <c r="H20" s="56" t="e">
        <f>Tabla5[[#This Row],[Salario Básico]]+Tabla5[[#This Row],[Bonif]]</f>
        <v>#N/A</v>
      </c>
      <c r="I20" s="53">
        <f t="shared" si="1"/>
        <v>192</v>
      </c>
      <c r="J20" s="52"/>
      <c r="K20" s="40" t="e" cm="1">
        <f t="array" ref="K20">MMULT(Tabla5[[#This Row],[Tarifas por Horas]],8)*Tabla5[[#This Row],[Vacaciones]]</f>
        <v>#N/A</v>
      </c>
      <c r="L20" s="40" t="e">
        <f>Tabla5[[#This Row],[Sal. Dev]]-Tabla5[[#This Row],[Ausencias]]+Tabla5[[#This Row],[pago x vacaciones]]</f>
        <v>#N/A</v>
      </c>
      <c r="M20" s="40" t="e">
        <f>5%*Tabla5[[#This Row],[Salario Neto]]</f>
        <v>#N/A</v>
      </c>
      <c r="N20" s="42" t="e" cm="1">
        <f t="array" ref="N20">MMULT(3.125%,Tabla5[[#This Row],[Salario Neto]])</f>
        <v>#N/A</v>
      </c>
      <c r="O20" s="74" t="e">
        <f>Tabla5[[#This Row],[Sal. Dev]]-Tabla5[[#This Row],[Ausencias]]+Tabla5[[#This Row],[pago x vacaciones]]-Tabla5[[#This Row],[importe Seg Social]]-Tabla5[[#This Row],[importe Ing Pers]]</f>
        <v>#N/A</v>
      </c>
    </row>
    <row r="21" spans="1:15" ht="15.9" hidden="1">
      <c r="A21" s="40"/>
      <c r="B21" s="79" t="e">
        <f>VLOOKUP(Tabla5[[#This Row],[No. Exp]],Tabla6[],2)</f>
        <v>#N/A</v>
      </c>
      <c r="C21" s="33" t="e">
        <f>VLOOKUP(Tabla5[[#This Row],[No. Exp]],Tabla6[],3)</f>
        <v>#N/A</v>
      </c>
      <c r="D21" s="42">
        <f t="shared" si="0"/>
        <v>192</v>
      </c>
      <c r="E21" s="42" t="e">
        <f>VLOOKUP(Tabla5[[#This Row],[No. Exp]],Tabla6[],5)</f>
        <v>#N/A</v>
      </c>
      <c r="F21" s="40" t="e">
        <f>ROUND(Tabla5[[#This Row],[Horas Trabajadas]]*Tabla5[[#This Row],[Tarifas por Horas]],0)</f>
        <v>#N/A</v>
      </c>
      <c r="G21" s="40"/>
      <c r="H21" s="56" t="e">
        <f>Tabla5[[#This Row],[Salario Básico]]+Tabla5[[#This Row],[Bonif]]</f>
        <v>#N/A</v>
      </c>
      <c r="I21" s="53">
        <f t="shared" si="1"/>
        <v>192</v>
      </c>
      <c r="J21" s="52"/>
      <c r="K21" s="40" t="e" cm="1">
        <f t="array" ref="K21">MMULT(Tabla5[[#This Row],[Tarifas por Horas]],8)*Tabla5[[#This Row],[Vacaciones]]</f>
        <v>#N/A</v>
      </c>
      <c r="L21" s="40" t="e">
        <f>Tabla5[[#This Row],[Sal. Dev]]-Tabla5[[#This Row],[Ausencias]]+Tabla5[[#This Row],[pago x vacaciones]]</f>
        <v>#N/A</v>
      </c>
      <c r="M21" s="40" t="e">
        <f>5%*Tabla5[[#This Row],[Salario Neto]]</f>
        <v>#N/A</v>
      </c>
      <c r="N21" s="42" t="e" cm="1">
        <f t="array" ref="N21">MMULT(3.125%,Tabla5[[#This Row],[Salario Neto]])</f>
        <v>#N/A</v>
      </c>
      <c r="O21" s="74" t="e">
        <f>Tabla5[[#This Row],[Sal. Dev]]-Tabla5[[#This Row],[Ausencias]]+Tabla5[[#This Row],[pago x vacaciones]]-Tabla5[[#This Row],[importe Seg Social]]-Tabla5[[#This Row],[importe Ing Pers]]</f>
        <v>#N/A</v>
      </c>
    </row>
    <row r="22" spans="1:15" ht="15.9" hidden="1">
      <c r="A22" s="40"/>
      <c r="B22" s="79" t="e">
        <f>VLOOKUP(Tabla5[[#This Row],[No. Exp]],Tabla6[],2)</f>
        <v>#N/A</v>
      </c>
      <c r="C22" s="33" t="e">
        <f>VLOOKUP(Tabla5[[#This Row],[No. Exp]],Tabla6[],3)</f>
        <v>#N/A</v>
      </c>
      <c r="D22" s="42">
        <f t="shared" si="0"/>
        <v>192</v>
      </c>
      <c r="E22" s="42" t="e">
        <f>VLOOKUP(Tabla5[[#This Row],[No. Exp]],Tabla6[],5)</f>
        <v>#N/A</v>
      </c>
      <c r="F22" s="40" t="e">
        <f>ROUND(Tabla5[[#This Row],[Horas Trabajadas]]*Tabla5[[#This Row],[Tarifas por Horas]],0)</f>
        <v>#N/A</v>
      </c>
      <c r="G22" s="40"/>
      <c r="H22" s="56" t="e">
        <f>Tabla5[[#This Row],[Salario Básico]]+Tabla5[[#This Row],[Bonif]]</f>
        <v>#N/A</v>
      </c>
      <c r="I22" s="53">
        <f t="shared" si="1"/>
        <v>192</v>
      </c>
      <c r="J22" s="52"/>
      <c r="K22" s="40" t="e" cm="1">
        <f t="array" ref="K22">MMULT(Tabla5[[#This Row],[Tarifas por Horas]],8)*Tabla5[[#This Row],[Vacaciones]]</f>
        <v>#N/A</v>
      </c>
      <c r="L22" s="40" t="e">
        <f>Tabla5[[#This Row],[Sal. Dev]]-Tabla5[[#This Row],[Ausencias]]+Tabla5[[#This Row],[pago x vacaciones]]</f>
        <v>#N/A</v>
      </c>
      <c r="M22" s="40" t="e">
        <f>5%*Tabla5[[#This Row],[Salario Neto]]</f>
        <v>#N/A</v>
      </c>
      <c r="N22" s="42" t="e" cm="1">
        <f t="array" ref="N22">MMULT(3.125%,Tabla5[[#This Row],[Salario Neto]])</f>
        <v>#N/A</v>
      </c>
      <c r="O22" s="74" t="e">
        <f>Tabla5[[#This Row],[Sal. Dev]]-Tabla5[[#This Row],[Ausencias]]+Tabla5[[#This Row],[pago x vacaciones]]-Tabla5[[#This Row],[importe Seg Social]]-Tabla5[[#This Row],[importe Ing Pers]]</f>
        <v>#N/A</v>
      </c>
    </row>
    <row r="23" spans="1:15" ht="15.9" hidden="1">
      <c r="A23" s="40"/>
      <c r="B23" s="79" t="e">
        <f>VLOOKUP(Tabla5[[#This Row],[No. Exp]],Tabla6[],2)</f>
        <v>#N/A</v>
      </c>
      <c r="C23" s="33" t="e">
        <f>VLOOKUP(Tabla5[[#This Row],[No. Exp]],Tabla6[],3)</f>
        <v>#N/A</v>
      </c>
      <c r="D23" s="42">
        <f t="shared" si="0"/>
        <v>192</v>
      </c>
      <c r="E23" s="42" t="e">
        <f>VLOOKUP(Tabla5[[#This Row],[No. Exp]],Tabla6[],5)</f>
        <v>#N/A</v>
      </c>
      <c r="F23" s="40" t="e">
        <f>ROUND(Tabla5[[#This Row],[Horas Trabajadas]]*Tabla5[[#This Row],[Tarifas por Horas]],0)</f>
        <v>#N/A</v>
      </c>
      <c r="G23" s="40"/>
      <c r="H23" s="56" t="e">
        <f>Tabla5[[#This Row],[Salario Básico]]+Tabla5[[#This Row],[Bonif]]</f>
        <v>#N/A</v>
      </c>
      <c r="I23" s="53">
        <f t="shared" si="1"/>
        <v>192</v>
      </c>
      <c r="J23" s="52"/>
      <c r="K23" s="40" t="e" cm="1">
        <f t="array" ref="K23">MMULT(Tabla5[[#This Row],[Tarifas por Horas]],8)*Tabla5[[#This Row],[Vacaciones]]</f>
        <v>#N/A</v>
      </c>
      <c r="L23" s="40" t="e">
        <f>Tabla5[[#This Row],[Sal. Dev]]-Tabla5[[#This Row],[Ausencias]]+Tabla5[[#This Row],[pago x vacaciones]]</f>
        <v>#N/A</v>
      </c>
      <c r="M23" s="40" t="e">
        <f>5%*Tabla5[[#This Row],[Salario Neto]]</f>
        <v>#N/A</v>
      </c>
      <c r="N23" s="42" t="e" cm="1">
        <f t="array" ref="N23">MMULT(3.125%,Tabla5[[#This Row],[Salario Neto]])</f>
        <v>#N/A</v>
      </c>
      <c r="O23" s="74" t="e">
        <f>Tabla5[[#This Row],[Sal. Dev]]-Tabla5[[#This Row],[Ausencias]]+Tabla5[[#This Row],[pago x vacaciones]]-Tabla5[[#This Row],[importe Seg Social]]-Tabla5[[#This Row],[importe Ing Pers]]</f>
        <v>#N/A</v>
      </c>
    </row>
    <row r="24" spans="1:15" ht="15.9" hidden="1">
      <c r="A24" s="40"/>
      <c r="B24" s="79" t="e">
        <f>VLOOKUP(Tabla5[[#This Row],[No. Exp]],Tabla6[],2)</f>
        <v>#N/A</v>
      </c>
      <c r="C24" s="33" t="e">
        <f>VLOOKUP(Tabla5[[#This Row],[No. Exp]],Tabla6[],3)</f>
        <v>#N/A</v>
      </c>
      <c r="D24" s="42">
        <f t="shared" si="0"/>
        <v>192</v>
      </c>
      <c r="E24" s="42" t="e">
        <f>VLOOKUP(Tabla5[[#This Row],[No. Exp]],Tabla6[],5)</f>
        <v>#N/A</v>
      </c>
      <c r="F24" s="40" t="e">
        <f>ROUND(Tabla5[[#This Row],[Horas Trabajadas]]*Tabla5[[#This Row],[Tarifas por Horas]],0)</f>
        <v>#N/A</v>
      </c>
      <c r="G24" s="40"/>
      <c r="H24" s="56" t="e">
        <f>Tabla5[[#This Row],[Salario Básico]]+Tabla5[[#This Row],[Bonif]]</f>
        <v>#N/A</v>
      </c>
      <c r="I24" s="53">
        <f t="shared" si="1"/>
        <v>192</v>
      </c>
      <c r="J24" s="52"/>
      <c r="K24" s="40" t="e" cm="1">
        <f t="array" ref="K24">MMULT(Tabla5[[#This Row],[Tarifas por Horas]],8)*Tabla5[[#This Row],[Vacaciones]]</f>
        <v>#N/A</v>
      </c>
      <c r="L24" s="40" t="e">
        <f>Tabla5[[#This Row],[Sal. Dev]]-Tabla5[[#This Row],[Ausencias]]+Tabla5[[#This Row],[pago x vacaciones]]</f>
        <v>#N/A</v>
      </c>
      <c r="M24" s="40" t="e">
        <f>5%*Tabla5[[#This Row],[Salario Neto]]</f>
        <v>#N/A</v>
      </c>
      <c r="N24" s="42" t="e" cm="1">
        <f t="array" ref="N24">MMULT(3.125%,Tabla5[[#This Row],[Salario Neto]])</f>
        <v>#N/A</v>
      </c>
      <c r="O24" s="74" t="e">
        <f>Tabla5[[#This Row],[Sal. Dev]]-Tabla5[[#This Row],[Ausencias]]+Tabla5[[#This Row],[pago x vacaciones]]-Tabla5[[#This Row],[importe Seg Social]]-Tabla5[[#This Row],[importe Ing Pers]]</f>
        <v>#N/A</v>
      </c>
    </row>
    <row r="25" spans="1:15" ht="15.9" hidden="1">
      <c r="A25" s="40"/>
      <c r="B25" s="79" t="e">
        <f>VLOOKUP(Tabla5[[#This Row],[No. Exp]],Tabla6[],2)</f>
        <v>#N/A</v>
      </c>
      <c r="C25" s="33" t="e">
        <f>VLOOKUP(Tabla5[[#This Row],[No. Exp]],Tabla6[],3)</f>
        <v>#N/A</v>
      </c>
      <c r="D25" s="42">
        <f t="shared" si="0"/>
        <v>192</v>
      </c>
      <c r="E25" s="42" t="e">
        <f>VLOOKUP(Tabla5[[#This Row],[No. Exp]],Tabla6[],5)</f>
        <v>#N/A</v>
      </c>
      <c r="F25" s="40" t="e">
        <f>ROUND(Tabla5[[#This Row],[Horas Trabajadas]]*Tabla5[[#This Row],[Tarifas por Horas]],0)</f>
        <v>#N/A</v>
      </c>
      <c r="G25" s="40"/>
      <c r="H25" s="56" t="e">
        <f>Tabla5[[#This Row],[Salario Básico]]+Tabla5[[#This Row],[Bonif]]</f>
        <v>#N/A</v>
      </c>
      <c r="I25" s="53">
        <f t="shared" si="1"/>
        <v>192</v>
      </c>
      <c r="J25" s="52"/>
      <c r="K25" s="40" t="e" cm="1">
        <f t="array" ref="K25">MMULT(Tabla5[[#This Row],[Tarifas por Horas]],8)*Tabla5[[#This Row],[Vacaciones]]</f>
        <v>#N/A</v>
      </c>
      <c r="L25" s="40" t="e">
        <f>Tabla5[[#This Row],[Sal. Dev]]-Tabla5[[#This Row],[Ausencias]]+Tabla5[[#This Row],[pago x vacaciones]]</f>
        <v>#N/A</v>
      </c>
      <c r="M25" s="40" t="e">
        <f>5%*Tabla5[[#This Row],[Salario Neto]]</f>
        <v>#N/A</v>
      </c>
      <c r="N25" s="42" t="e" cm="1">
        <f t="array" ref="N25">MMULT(3.125%,Tabla5[[#This Row],[Salario Neto]])</f>
        <v>#N/A</v>
      </c>
      <c r="O25" s="74" t="e">
        <f>Tabla5[[#This Row],[Sal. Dev]]-Tabla5[[#This Row],[Ausencias]]+Tabla5[[#This Row],[pago x vacaciones]]-Tabla5[[#This Row],[importe Seg Social]]-Tabla5[[#This Row],[importe Ing Pers]]</f>
        <v>#N/A</v>
      </c>
    </row>
    <row r="26" spans="1:15" ht="18" customHeight="1">
      <c r="A26" s="40">
        <v>105</v>
      </c>
      <c r="B26" s="79" t="str">
        <f>VLOOKUP(Tabla5[[#This Row],[No. Exp]],Tabla6[],2)</f>
        <v xml:space="preserve">Maited Benitez Lugo </v>
      </c>
      <c r="C26" s="33">
        <f>VLOOKUP(Tabla5[[#This Row],[No. Exp]],Tabla6[],3)</f>
        <v>70052404751</v>
      </c>
      <c r="D26" s="42">
        <f>D25</f>
        <v>192</v>
      </c>
      <c r="E26" s="42">
        <f>VLOOKUP(Tabla5[[#This Row],[No. Exp]],Tabla6[],5)</f>
        <v>46.875</v>
      </c>
      <c r="F26" s="40">
        <f>ROUND(Tabla5[[#This Row],[Horas Trabajadas]]*Tabla5[[#This Row],[Tarifas por Horas]],0)</f>
        <v>9000</v>
      </c>
      <c r="G26" s="40"/>
      <c r="H26" s="136">
        <f>Tabla5[[#This Row],[Salario Básico]]+Tabla5[[#This Row],[Bonif]]</f>
        <v>9000</v>
      </c>
      <c r="I26" s="53"/>
      <c r="J26" s="52"/>
      <c r="K26" s="40" cm="1">
        <f t="array" ref="K26">MMULT(Tabla5[[#This Row],[Tarifas por Horas]],8)*Tabla5[[#This Row],[Vacaciones]]</f>
        <v>0</v>
      </c>
      <c r="L26" s="40">
        <f>Tabla5[[#This Row],[Sal. Dev]]-Tabla5[[#This Row],[Ausencias]]+Tabla5[[#This Row],[pago x vacaciones]]</f>
        <v>9000</v>
      </c>
      <c r="M26" s="40">
        <f>5%*Tabla5[[#This Row],[Salario Neto]]</f>
        <v>450</v>
      </c>
      <c r="N26" s="42" cm="1">
        <f t="array" ref="N26">MMULT(3.125%,Tabla5[[#This Row],[Salario Neto]])</f>
        <v>281.25</v>
      </c>
      <c r="O26" s="74">
        <f>Tabla5[[#This Row],[Sal. Dev]]-Tabla5[[#This Row],[Ausencias]]+Tabla5[[#This Row],[pago x vacaciones]]-Tabla5[[#This Row],[importe Seg Social]]-Tabla5[[#This Row],[importe Ing Pers]]</f>
        <v>8268.75</v>
      </c>
    </row>
    <row r="33" spans="1:15" ht="15.9">
      <c r="B33" s="82" t="s">
        <v>202</v>
      </c>
    </row>
    <row r="37" spans="1:15" ht="15.75" customHeight="1"/>
    <row r="38" spans="1:15" ht="18.45">
      <c r="A38" s="453" t="s">
        <v>0</v>
      </c>
      <c r="B38" s="453"/>
      <c r="C38" s="37"/>
      <c r="D38" s="37"/>
      <c r="I38" s="33" t="s">
        <v>1</v>
      </c>
      <c r="J38" s="33" t="s">
        <v>2</v>
      </c>
      <c r="K38" s="127">
        <v>45901</v>
      </c>
      <c r="L38" s="50" t="s">
        <v>3</v>
      </c>
      <c r="M38" s="127">
        <v>45930</v>
      </c>
      <c r="N38" s="33"/>
    </row>
    <row r="39" spans="1:15">
      <c r="A39" s="449" t="s">
        <v>4</v>
      </c>
      <c r="B39" s="449"/>
      <c r="C39" s="38" t="str">
        <f>C6</f>
        <v>Amanda Marcano Bahler</v>
      </c>
    </row>
    <row r="40" spans="1:15">
      <c r="A40" s="449" t="s">
        <v>5</v>
      </c>
      <c r="B40" s="449"/>
      <c r="C40" s="39"/>
      <c r="L40" s="36" t="str">
        <f>L7</f>
        <v>Horas:</v>
      </c>
      <c r="M40" s="38">
        <f>M7</f>
        <v>192</v>
      </c>
    </row>
    <row r="41" spans="1:15" ht="18.45">
      <c r="A41" s="452" t="s">
        <v>7</v>
      </c>
      <c r="B41" s="452"/>
      <c r="C41" s="28" t="s">
        <v>17</v>
      </c>
      <c r="L41" s="449" t="s">
        <v>9</v>
      </c>
      <c r="M41" s="449"/>
    </row>
    <row r="42" spans="1:15" s="24" customFormat="1" ht="26.25" customHeight="1">
      <c r="A42" s="87" t="s">
        <v>10</v>
      </c>
      <c r="B42" s="87" t="s">
        <v>11</v>
      </c>
      <c r="C42" s="87" t="s">
        <v>12</v>
      </c>
      <c r="D42" s="88" t="s">
        <v>198</v>
      </c>
      <c r="E42" s="87" t="s">
        <v>193</v>
      </c>
      <c r="F42" s="88" t="s">
        <v>189</v>
      </c>
      <c r="G42" s="87" t="s">
        <v>14</v>
      </c>
      <c r="H42" s="89" t="s">
        <v>15</v>
      </c>
      <c r="I42" s="90" t="s">
        <v>197</v>
      </c>
      <c r="J42" s="87" t="s">
        <v>9</v>
      </c>
      <c r="K42" s="87" t="s">
        <v>18</v>
      </c>
      <c r="L42" s="90" t="s">
        <v>196</v>
      </c>
      <c r="M42" s="88" t="s">
        <v>194</v>
      </c>
      <c r="N42" s="87" t="s">
        <v>195</v>
      </c>
      <c r="O42" s="91" t="s">
        <v>191</v>
      </c>
    </row>
    <row r="43" spans="1:15" ht="19.75" customHeight="1">
      <c r="A43" s="40">
        <v>5</v>
      </c>
      <c r="B43" s="79" t="str">
        <f>VLOOKUP(Tabla512[[#This Row],[No. Exp]],Tabla6[],2)</f>
        <v>Roberto Palacios Díaz</v>
      </c>
      <c r="C43" s="33" t="str">
        <f>VLOOKUP(Tabla512[[#This Row],[No. Exp]],Tabla6[],3)</f>
        <v>89092321528</v>
      </c>
      <c r="D43" s="119">
        <v>192</v>
      </c>
      <c r="E43" s="42">
        <f>VLOOKUP(Tabla512[[#This Row],[No. Exp]],Tabla6[],5)</f>
        <v>41.665999999999997</v>
      </c>
      <c r="F43" s="120">
        <f>ROUND(Tabla512[[#This Row],[Horas Trabajadas]]*Tabla512[[#This Row],[Tarifas x horas ]],0)</f>
        <v>8000</v>
      </c>
      <c r="G43" s="40"/>
      <c r="H43" s="56">
        <f>Tabla512[[#This Row],[Salario Básico]]+Tabla512[[#This Row],[Bonif]]</f>
        <v>8000</v>
      </c>
      <c r="I43" s="118"/>
      <c r="J43" s="40"/>
      <c r="K43" s="40" cm="1">
        <f t="array" ref="K43">MMULT(Tabla512[[#This Row],[Tarifas x horas ]],8)*Tabla512[[#This Row],[Vacaciones]]</f>
        <v>0</v>
      </c>
      <c r="L43" s="53">
        <f>Tabla512[[#This Row],[Sal. Dev]]-Tabla512[[#This Row],[Ausencias]]+Tabla512[[#This Row],[pago x Vacaciones]]</f>
        <v>8000</v>
      </c>
      <c r="M43" s="121">
        <f>5%*Tabla512[[#This Row],[Salario Neto]]</f>
        <v>400</v>
      </c>
      <c r="N43" s="42">
        <v>187.5</v>
      </c>
      <c r="O43" s="28">
        <f>Tabla512[[#This Row],[Sal. Dev]]-Tabla512[[#This Row],[Ausencias]]+Tabla512[[#This Row],[pago x Vacaciones]]-Tabla512[[#This Row],[importe Seg Social]]-Tabla512[[#This Row],[importe Ing Pers]]</f>
        <v>7412.5</v>
      </c>
    </row>
    <row r="44" spans="1:15" ht="15.9">
      <c r="A44" s="36">
        <v>9</v>
      </c>
      <c r="B44" s="79" t="str">
        <f>VLOOKUP(Tabla512[[#This Row],[No. Exp]],Tabla6[],2)</f>
        <v>Leonardo Goberna Sánchez</v>
      </c>
      <c r="C44" s="33" t="str">
        <f>VLOOKUP(Tabla512[[#This Row],[No. Exp]],Tabla6[],3)</f>
        <v>97042008188</v>
      </c>
      <c r="D44" s="42">
        <v>192</v>
      </c>
      <c r="E44" s="42">
        <f>VLOOKUP(Tabla512[[#This Row],[No. Exp]],Tabla6[],5)</f>
        <v>40.625</v>
      </c>
      <c r="F44" s="40">
        <f>ROUND(Tabla512[[#This Row],[Horas Trabajadas]]*Tabla512[[#This Row],[Tarifas x horas ]],0)</f>
        <v>7800</v>
      </c>
      <c r="G44" s="40"/>
      <c r="H44" s="51">
        <f>Tabla512[[#This Row],[Salario Básico]]+Tabla512[[#This Row],[Bonif]]</f>
        <v>7800</v>
      </c>
      <c r="I44" s="51"/>
      <c r="J44" s="52"/>
      <c r="K44" s="40" cm="1">
        <f t="array" ref="K44">MMULT(Tabla512[[#This Row],[Tarifas x horas ]],8)*Tabla512[[#This Row],[Vacaciones]]</f>
        <v>0</v>
      </c>
      <c r="L44" s="51">
        <f>Tabla512[[#This Row],[Sal. Dev]]-Tabla512[[#This Row],[Ausencias]]+Tabla512[[#This Row],[pago x Vacaciones]]</f>
        <v>7800</v>
      </c>
      <c r="M44" s="40">
        <f>5%*Tabla512[[#This Row],[Salario Neto]]</f>
        <v>390</v>
      </c>
      <c r="N44" s="42">
        <v>187.5</v>
      </c>
      <c r="O44" s="74">
        <f>Tabla512[[#This Row],[Sal. Dev]]-Tabla512[[#This Row],[Ausencias]]+Tabla512[[#This Row],[pago x Vacaciones]]-Tabla512[[#This Row],[importe Seg Social]]-Tabla512[[#This Row],[importe Ing Pers]]</f>
        <v>7222.5</v>
      </c>
    </row>
    <row r="45" spans="1:15" ht="15.9">
      <c r="A45" s="36">
        <v>10</v>
      </c>
      <c r="B45" s="79" t="str">
        <f>VLOOKUP(Tabla512[[#This Row],[No. Exp]],Tabla6[],2)</f>
        <v>Liván León López</v>
      </c>
      <c r="C45" s="33">
        <f>VLOOKUP(Tabla512[[#This Row],[No. Exp]],Tabla6[],3)</f>
        <v>98090107024</v>
      </c>
      <c r="D45" s="42">
        <f>D44</f>
        <v>192</v>
      </c>
      <c r="E45" s="42">
        <f>VLOOKUP(Tabla512[[#This Row],[No. Exp]],Tabla6[],5)</f>
        <v>40.625</v>
      </c>
      <c r="F45" s="40">
        <f>ROUND(Tabla512[[#This Row],[Horas Trabajadas]]*Tabla512[[#This Row],[Tarifas x horas ]],0)</f>
        <v>7800</v>
      </c>
      <c r="G45" s="40"/>
      <c r="H45" s="51">
        <f>Tabla512[[#This Row],[Salario Básico]]+Tabla512[[#This Row],[Bonif]]</f>
        <v>7800</v>
      </c>
      <c r="J45" s="52"/>
      <c r="K45" s="40" cm="1">
        <f t="array" ref="K45">MMULT(Tabla512[[#This Row],[Tarifas x horas ]],8)*Tabla512[[#This Row],[Vacaciones]]</f>
        <v>0</v>
      </c>
      <c r="L45" s="51">
        <f>Tabla512[[#This Row],[Sal. Dev]]-Tabla512[[#This Row],[Ausencias]]+Tabla512[[#This Row],[pago x Vacaciones]]</f>
        <v>7800</v>
      </c>
      <c r="M45" s="40">
        <f>5%*Tabla512[[#This Row],[Salario Neto]]</f>
        <v>390</v>
      </c>
      <c r="N45" s="42">
        <v>187.5</v>
      </c>
      <c r="O45" s="74">
        <f>Tabla512[[#This Row],[Sal. Dev]]-Tabla512[[#This Row],[Ausencias]]+Tabla512[[#This Row],[pago x Vacaciones]]-Tabla512[[#This Row],[importe Seg Social]]-Tabla512[[#This Row],[importe Ing Pers]]</f>
        <v>7222.5</v>
      </c>
    </row>
    <row r="46" spans="1:15" ht="15.9">
      <c r="A46" s="36">
        <v>11</v>
      </c>
      <c r="B46" s="79" t="str">
        <f>VLOOKUP(Tabla512[[#This Row],[No. Exp]],Tabla6[],2)</f>
        <v>Norge Araújo Ortega</v>
      </c>
      <c r="C46" s="33">
        <f>VLOOKUP(Tabla512[[#This Row],[No. Exp]],Tabla6[],3)</f>
        <v>87121431060</v>
      </c>
      <c r="D46" s="42">
        <f t="shared" ref="D46:D60" si="2">D44</f>
        <v>192</v>
      </c>
      <c r="E46" s="42">
        <f>VLOOKUP(Tabla512[[#This Row],[No. Exp]],Tabla6[],5)</f>
        <v>40.625</v>
      </c>
      <c r="F46" s="40">
        <f>ROUND(Tabla512[[#This Row],[Horas Trabajadas]]*Tabla512[[#This Row],[Tarifas x horas ]],0)</f>
        <v>7800</v>
      </c>
      <c r="G46" s="40"/>
      <c r="H46" s="51">
        <f>Tabla512[[#This Row],[Salario Básico]]+Tabla512[[#This Row],[Bonif]]</f>
        <v>7800</v>
      </c>
      <c r="J46" s="52"/>
      <c r="K46" s="40" cm="1">
        <f t="array" ref="K46">MMULT(Tabla512[[#This Row],[Tarifas x horas ]],8)*Tabla512[[#This Row],[Vacaciones]]</f>
        <v>0</v>
      </c>
      <c r="L46" s="51">
        <f>Tabla512[[#This Row],[Sal. Dev]]-Tabla512[[#This Row],[Ausencias]]+Tabla512[[#This Row],[pago x Vacaciones]]</f>
        <v>7800</v>
      </c>
      <c r="M46" s="40">
        <f>5%*Tabla512[[#This Row],[Salario Neto]]</f>
        <v>390</v>
      </c>
      <c r="N46" s="42">
        <v>187.5</v>
      </c>
      <c r="O46" s="74">
        <f>Tabla512[[#This Row],[Sal. Dev]]-Tabla512[[#This Row],[Ausencias]]+Tabla512[[#This Row],[pago x Vacaciones]]-Tabla512[[#This Row],[importe Seg Social]]-Tabla512[[#This Row],[importe Ing Pers]]</f>
        <v>7222.5</v>
      </c>
    </row>
    <row r="47" spans="1:15" ht="17.149999999999999" customHeight="1">
      <c r="A47" s="36">
        <v>12</v>
      </c>
      <c r="B47" s="79" t="str">
        <f>VLOOKUP(Tabla512[[#This Row],[No. Exp]],Tabla6[],2)</f>
        <v>Humberto Eugenio Blanco Hernanadez</v>
      </c>
      <c r="C47" s="33">
        <f>VLOOKUP(Tabla512[[#This Row],[No. Exp]],Tabla6[],3)</f>
        <v>96042423224</v>
      </c>
      <c r="D47" s="42">
        <f t="shared" si="2"/>
        <v>192</v>
      </c>
      <c r="E47" s="42">
        <f>VLOOKUP(Tabla512[[#This Row],[No. Exp]],Tabla6[],5)</f>
        <v>40.625</v>
      </c>
      <c r="F47" s="40">
        <f>ROUND(Tabla512[[#This Row],[Horas Trabajadas]]*Tabla512[[#This Row],[Tarifas x horas ]],0)</f>
        <v>7800</v>
      </c>
      <c r="G47" s="40"/>
      <c r="H47" s="51">
        <f>Tabla512[[#This Row],[Salario Básico]]+Tabla512[[#This Row],[Bonif]]</f>
        <v>7800</v>
      </c>
      <c r="J47" s="52"/>
      <c r="K47" s="40" cm="1">
        <f t="array" ref="K47">MMULT(Tabla512[[#This Row],[Tarifas x horas ]],8)*Tabla512[[#This Row],[Vacaciones]]</f>
        <v>0</v>
      </c>
      <c r="L47" s="51">
        <f>Tabla512[[#This Row],[Sal. Dev]]-Tabla512[[#This Row],[Ausencias]]+Tabla512[[#This Row],[pago x Vacaciones]]</f>
        <v>7800</v>
      </c>
      <c r="M47" s="40">
        <f>5%*Tabla512[[#This Row],[Salario Neto]]</f>
        <v>390</v>
      </c>
      <c r="N47" s="42">
        <v>187.5</v>
      </c>
      <c r="O47" s="74">
        <f>Tabla512[[#This Row],[Sal. Dev]]-Tabla512[[#This Row],[Ausencias]]+Tabla512[[#This Row],[pago x Vacaciones]]-Tabla512[[#This Row],[importe Seg Social]]-Tabla512[[#This Row],[importe Ing Pers]]</f>
        <v>7222.5</v>
      </c>
    </row>
    <row r="48" spans="1:15" ht="15.9">
      <c r="A48" s="36">
        <v>13</v>
      </c>
      <c r="B48" s="79" t="str">
        <f>VLOOKUP(Tabla512[[#This Row],[No. Exp]],Tabla6[],2)</f>
        <v>Samuel Elías Galán Zaldívar</v>
      </c>
      <c r="C48" s="33">
        <f>VLOOKUP(Tabla512[[#This Row],[No. Exp]],Tabla6[],3)</f>
        <v>99061719940</v>
      </c>
      <c r="D48" s="42">
        <f t="shared" si="2"/>
        <v>192</v>
      </c>
      <c r="E48" s="42">
        <f>VLOOKUP(Tabla512[[#This Row],[No. Exp]],Tabla6[],5)</f>
        <v>40.625</v>
      </c>
      <c r="F48" s="40">
        <f>ROUND(Tabla512[[#This Row],[Horas Trabajadas]]*Tabla512[[#This Row],[Tarifas x horas ]],0)</f>
        <v>7800</v>
      </c>
      <c r="G48" s="40"/>
      <c r="H48" s="56">
        <f>Tabla512[[#This Row],[Salario Básico]]+Tabla512[[#This Row],[Bonif]]</f>
        <v>7800</v>
      </c>
      <c r="J48" s="52"/>
      <c r="K48" s="40" cm="1">
        <f t="array" ref="K48">MMULT(Tabla512[[#This Row],[Tarifas x horas ]],8)*Tabla512[[#This Row],[Vacaciones]]</f>
        <v>0</v>
      </c>
      <c r="L48" s="51">
        <f>Tabla512[[#This Row],[Sal. Dev]]-Tabla512[[#This Row],[Ausencias]]+Tabla512[[#This Row],[pago x Vacaciones]]</f>
        <v>7800</v>
      </c>
      <c r="M48" s="40">
        <f>5%*Tabla512[[#This Row],[Salario Neto]]</f>
        <v>390</v>
      </c>
      <c r="N48" s="42">
        <v>187.5</v>
      </c>
      <c r="O48" s="74">
        <f>Tabla512[[#This Row],[Sal. Dev]]-Tabla512[[#This Row],[Ausencias]]+Tabla512[[#This Row],[pago x Vacaciones]]-Tabla512[[#This Row],[importe Seg Social]]-Tabla512[[#This Row],[importe Ing Pers]]</f>
        <v>7222.5</v>
      </c>
    </row>
    <row r="49" spans="1:15" ht="15.9">
      <c r="A49" s="36">
        <v>14</v>
      </c>
      <c r="B49" s="79" t="str">
        <f>VLOOKUP(Tabla512[[#This Row],[No. Exp]],Tabla6[],2)</f>
        <v>Jesús Pérez Fagundo</v>
      </c>
      <c r="C49" s="33">
        <f>VLOOKUP(Tabla512[[#This Row],[No. Exp]],Tabla6[],3)</f>
        <v>88062613221</v>
      </c>
      <c r="D49" s="42">
        <f t="shared" si="2"/>
        <v>192</v>
      </c>
      <c r="E49" s="42">
        <f>VLOOKUP(Tabla512[[#This Row],[No. Exp]],Tabla6[],5)</f>
        <v>40.625</v>
      </c>
      <c r="F49" s="40">
        <f>ROUND(Tabla512[[#This Row],[Horas Trabajadas]]*Tabla512[[#This Row],[Tarifas x horas ]],0)</f>
        <v>7800</v>
      </c>
      <c r="G49" s="40"/>
      <c r="H49" s="56">
        <f>Tabla512[[#This Row],[Salario Básico]]+Tabla512[[#This Row],[Bonif]]</f>
        <v>7800</v>
      </c>
      <c r="J49" s="52"/>
      <c r="K49" s="40" cm="1">
        <f t="array" ref="K49">MMULT(Tabla512[[#This Row],[Tarifas x horas ]],8)*Tabla512[[#This Row],[Vacaciones]]</f>
        <v>0</v>
      </c>
      <c r="L49" s="51">
        <f>Tabla512[[#This Row],[Sal. Dev]]-Tabla512[[#This Row],[Ausencias]]+Tabla512[[#This Row],[pago x Vacaciones]]</f>
        <v>7800</v>
      </c>
      <c r="M49" s="40">
        <f>5%*Tabla512[[#This Row],[Salario Neto]]</f>
        <v>390</v>
      </c>
      <c r="N49" s="42">
        <v>187.5</v>
      </c>
      <c r="O49" s="74">
        <f>Tabla512[[#This Row],[Sal. Dev]]-Tabla512[[#This Row],[Ausencias]]+Tabla512[[#This Row],[pago x Vacaciones]]-Tabla512[[#This Row],[importe Seg Social]]-Tabla512[[#This Row],[importe Ing Pers]]</f>
        <v>7222.5</v>
      </c>
    </row>
    <row r="50" spans="1:15" ht="15.9">
      <c r="A50" s="36">
        <v>15</v>
      </c>
      <c r="B50" s="79" t="str">
        <f>VLOOKUP(Tabla512[[#This Row],[No. Exp]],Tabla6[],2)</f>
        <v>Alexei  Llanes Gonzalez</v>
      </c>
      <c r="C50" s="33">
        <f>VLOOKUP(Tabla512[[#This Row],[No. Exp]],Tabla6[],3)</f>
        <v>97012308566</v>
      </c>
      <c r="D50" s="42">
        <f t="shared" si="2"/>
        <v>192</v>
      </c>
      <c r="E50" s="42">
        <f>VLOOKUP(Tabla512[[#This Row],[No. Exp]],Tabla6[],5)</f>
        <v>40.625</v>
      </c>
      <c r="F50" s="40">
        <f>ROUND(Tabla512[[#This Row],[Horas Trabajadas]]*Tabla512[[#This Row],[Tarifas x horas ]],0)</f>
        <v>7800</v>
      </c>
      <c r="G50" s="40"/>
      <c r="H50" s="56">
        <f>Tabla512[[#This Row],[Salario Básico]]+Tabla512[[#This Row],[Bonif]]</f>
        <v>7800</v>
      </c>
      <c r="J50" s="52"/>
      <c r="K50" s="40" cm="1">
        <f t="array" ref="K50">MMULT(Tabla512[[#This Row],[Tarifas x horas ]],8)*Tabla512[[#This Row],[Vacaciones]]</f>
        <v>0</v>
      </c>
      <c r="L50" s="51">
        <f>Tabla512[[#This Row],[Sal. Dev]]-Tabla512[[#This Row],[Ausencias]]+Tabla512[[#This Row],[pago x Vacaciones]]</f>
        <v>7800</v>
      </c>
      <c r="M50" s="40">
        <f>5%*Tabla512[[#This Row],[Salario Neto]]</f>
        <v>390</v>
      </c>
      <c r="N50" s="42">
        <v>187.5</v>
      </c>
      <c r="O50" s="74">
        <f>Tabla512[[#This Row],[Sal. Dev]]-Tabla512[[#This Row],[Ausencias]]+Tabla512[[#This Row],[pago x Vacaciones]]-Tabla512[[#This Row],[importe Seg Social]]-Tabla512[[#This Row],[importe Ing Pers]]</f>
        <v>7222.5</v>
      </c>
    </row>
    <row r="51" spans="1:15" ht="15.9">
      <c r="A51" s="36">
        <v>16</v>
      </c>
      <c r="B51" s="79" t="str">
        <f>VLOOKUP(Tabla512[[#This Row],[No. Exp]],Tabla6[],2)</f>
        <v>Cristian Corrales Rosario</v>
      </c>
      <c r="C51" s="33">
        <f>VLOOKUP(Tabla512[[#This Row],[No. Exp]],Tabla6[],3)</f>
        <v>96091007562</v>
      </c>
      <c r="D51" s="42">
        <f t="shared" si="2"/>
        <v>192</v>
      </c>
      <c r="E51" s="42">
        <f>VLOOKUP(Tabla512[[#This Row],[No. Exp]],Tabla6[],5)</f>
        <v>40.625</v>
      </c>
      <c r="F51" s="40">
        <f>ROUND(Tabla512[[#This Row],[Horas Trabajadas]]*Tabla512[[#This Row],[Tarifas x horas ]],0)</f>
        <v>7800</v>
      </c>
      <c r="G51" s="40"/>
      <c r="H51" s="56">
        <f>Tabla512[[#This Row],[Salario Básico]]+Tabla512[[#This Row],[Bonif]]</f>
        <v>7800</v>
      </c>
      <c r="J51" s="52"/>
      <c r="K51" s="40" cm="1">
        <f t="array" ref="K51">MMULT(Tabla512[[#This Row],[Tarifas x horas ]],8)*Tabla512[[#This Row],[Vacaciones]]</f>
        <v>0</v>
      </c>
      <c r="L51" s="51">
        <f>Tabla512[[#This Row],[Sal. Dev]]-Tabla512[[#This Row],[Ausencias]]+Tabla512[[#This Row],[pago x Vacaciones]]</f>
        <v>7800</v>
      </c>
      <c r="M51" s="40">
        <f>5%*Tabla512[[#This Row],[Salario Neto]]</f>
        <v>390</v>
      </c>
      <c r="N51" s="42">
        <v>187.5</v>
      </c>
      <c r="O51" s="74">
        <f>Tabla512[[#This Row],[Sal. Dev]]-Tabla512[[#This Row],[Ausencias]]+Tabla512[[#This Row],[pago x Vacaciones]]-Tabla512[[#This Row],[importe Seg Social]]-Tabla512[[#This Row],[importe Ing Pers]]</f>
        <v>7222.5</v>
      </c>
    </row>
    <row r="52" spans="1:15" ht="15.9">
      <c r="A52" s="36">
        <v>17</v>
      </c>
      <c r="B52" s="79" t="str">
        <f>VLOOKUP(Tabla512[[#This Row],[No. Exp]],Tabla6[],2)</f>
        <v>Rudens  Roberto Borbolla</v>
      </c>
      <c r="C52" s="33">
        <f>VLOOKUP(Tabla512[[#This Row],[No. Exp]],Tabla6[],3)</f>
        <v>93050161098</v>
      </c>
      <c r="D52" s="42">
        <f t="shared" si="2"/>
        <v>192</v>
      </c>
      <c r="E52" s="42">
        <f>VLOOKUP(Tabla512[[#This Row],[No. Exp]],Tabla6[],5)</f>
        <v>40.625</v>
      </c>
      <c r="F52" s="40">
        <f>ROUND(Tabla512[[#This Row],[Horas Trabajadas]]*Tabla512[[#This Row],[Tarifas x horas ]],0)</f>
        <v>7800</v>
      </c>
      <c r="G52" s="40"/>
      <c r="H52" s="56">
        <f>Tabla512[[#This Row],[Salario Básico]]+Tabla512[[#This Row],[Bonif]]</f>
        <v>7800</v>
      </c>
      <c r="J52" s="52"/>
      <c r="K52" s="40" cm="1">
        <f t="array" ref="K52">MMULT(Tabla512[[#This Row],[Tarifas x horas ]],8)*Tabla512[[#This Row],[Vacaciones]]</f>
        <v>0</v>
      </c>
      <c r="L52" s="51">
        <f>Tabla512[[#This Row],[Sal. Dev]]-Tabla512[[#This Row],[Ausencias]]+Tabla512[[#This Row],[pago x Vacaciones]]</f>
        <v>7800</v>
      </c>
      <c r="M52" s="40">
        <f>5%*Tabla512[[#This Row],[Salario Neto]]</f>
        <v>390</v>
      </c>
      <c r="N52" s="42">
        <v>187.5</v>
      </c>
      <c r="O52" s="74">
        <f>Tabla512[[#This Row],[Sal. Dev]]-Tabla512[[#This Row],[Ausencias]]+Tabla512[[#This Row],[pago x Vacaciones]]-Tabla512[[#This Row],[importe Seg Social]]-Tabla512[[#This Row],[importe Ing Pers]]</f>
        <v>7222.5</v>
      </c>
    </row>
    <row r="53" spans="1:15" ht="15.9">
      <c r="A53" s="36">
        <v>18</v>
      </c>
      <c r="B53" s="79" t="str">
        <f>VLOOKUP(Tabla512[[#This Row],[No. Exp]],Tabla6[],2)</f>
        <v>Roliel Rodríguez García</v>
      </c>
      <c r="C53" s="33">
        <f>VLOOKUP(Tabla512[[#This Row],[No. Exp]],Tabla6[],3)</f>
        <v>91122226789</v>
      </c>
      <c r="D53" s="42">
        <f t="shared" si="2"/>
        <v>192</v>
      </c>
      <c r="E53" s="42">
        <f>VLOOKUP(Tabla512[[#This Row],[No. Exp]],Tabla6[],5)</f>
        <v>40.625</v>
      </c>
      <c r="F53" s="40">
        <f>ROUND(Tabla512[[#This Row],[Horas Trabajadas]]*Tabla512[[#This Row],[Tarifas x horas ]],0)</f>
        <v>7800</v>
      </c>
      <c r="G53" s="40"/>
      <c r="H53" s="56">
        <f>Tabla512[[#This Row],[Salario Básico]]+Tabla512[[#This Row],[Bonif]]</f>
        <v>7800</v>
      </c>
      <c r="J53" s="52"/>
      <c r="K53" s="40" cm="1">
        <f t="array" ref="K53">MMULT(Tabla512[[#This Row],[Tarifas x horas ]],8)*Tabla512[[#This Row],[Vacaciones]]</f>
        <v>0</v>
      </c>
      <c r="L53" s="51">
        <f>Tabla512[[#This Row],[Sal. Dev]]-Tabla512[[#This Row],[Ausencias]]+Tabla512[[#This Row],[pago x Vacaciones]]</f>
        <v>7800</v>
      </c>
      <c r="M53" s="40">
        <f>5%*Tabla512[[#This Row],[Salario Neto]]</f>
        <v>390</v>
      </c>
      <c r="N53" s="42">
        <v>187.5</v>
      </c>
      <c r="O53" s="74">
        <f>Tabla512[[#This Row],[Sal. Dev]]-Tabla512[[#This Row],[Ausencias]]+Tabla512[[#This Row],[pago x Vacaciones]]-Tabla512[[#This Row],[importe Seg Social]]-Tabla512[[#This Row],[importe Ing Pers]]</f>
        <v>7222.5</v>
      </c>
    </row>
    <row r="54" spans="1:15" ht="15.9">
      <c r="A54" s="36">
        <v>19</v>
      </c>
      <c r="B54" s="79" t="str">
        <f>VLOOKUP(Tabla512[[#This Row],[No. Exp]],Tabla6[],2)</f>
        <v>Osmandy del Valle Milanés</v>
      </c>
      <c r="C54" s="33">
        <f>VLOOKUP(Tabla512[[#This Row],[No. Exp]],Tabla6[],3)</f>
        <v>89123036741</v>
      </c>
      <c r="D54" s="42">
        <f t="shared" si="2"/>
        <v>192</v>
      </c>
      <c r="E54" s="42">
        <f>VLOOKUP(Tabla512[[#This Row],[No. Exp]],Tabla6[],5)</f>
        <v>40.625</v>
      </c>
      <c r="F54" s="40">
        <f>ROUND(Tabla512[[#This Row],[Horas Trabajadas]]*Tabla512[[#This Row],[Tarifas x horas ]],0)</f>
        <v>7800</v>
      </c>
      <c r="G54" s="40"/>
      <c r="H54" s="56">
        <f>Tabla512[[#This Row],[Salario Básico]]+Tabla512[[#This Row],[Bonif]]</f>
        <v>7800</v>
      </c>
      <c r="J54" s="52"/>
      <c r="K54" s="40" cm="1">
        <f t="array" ref="K54">MMULT(Tabla512[[#This Row],[Tarifas x horas ]],8)*Tabla512[[#This Row],[Vacaciones]]</f>
        <v>0</v>
      </c>
      <c r="L54" s="51">
        <f>Tabla512[[#This Row],[Sal. Dev]]-Tabla512[[#This Row],[Ausencias]]+Tabla512[[#This Row],[pago x Vacaciones]]</f>
        <v>7800</v>
      </c>
      <c r="M54" s="40">
        <f>5%*Tabla512[[#This Row],[Salario Neto]]</f>
        <v>390</v>
      </c>
      <c r="N54" s="42">
        <v>187.5</v>
      </c>
      <c r="O54" s="74">
        <f>Tabla512[[#This Row],[Sal. Dev]]-Tabla512[[#This Row],[Ausencias]]+Tabla512[[#This Row],[pago x Vacaciones]]-Tabla512[[#This Row],[importe Seg Social]]-Tabla512[[#This Row],[importe Ing Pers]]</f>
        <v>7222.5</v>
      </c>
    </row>
    <row r="55" spans="1:15" ht="15.9">
      <c r="A55" s="36">
        <v>20</v>
      </c>
      <c r="B55" s="79" t="str">
        <f>VLOOKUP(Tabla512[[#This Row],[No. Exp]],Tabla6[],2)</f>
        <v>René Acosta Cruz</v>
      </c>
      <c r="C55" s="33" t="str">
        <f>VLOOKUP(Tabla512[[#This Row],[No. Exp]],Tabla6[],3)</f>
        <v>89082821885</v>
      </c>
      <c r="D55" s="42">
        <f t="shared" si="2"/>
        <v>192</v>
      </c>
      <c r="E55" s="42">
        <f>VLOOKUP(Tabla512[[#This Row],[No. Exp]],Tabla6[],5)</f>
        <v>40.625</v>
      </c>
      <c r="F55" s="40">
        <f>ROUND(Tabla512[[#This Row],[Horas Trabajadas]]*Tabla512[[#This Row],[Tarifas x horas ]],0)</f>
        <v>7800</v>
      </c>
      <c r="G55" s="40"/>
      <c r="H55" s="56">
        <f>Tabla512[[#This Row],[Salario Básico]]+Tabla512[[#This Row],[Bonif]]</f>
        <v>7800</v>
      </c>
      <c r="J55" s="52"/>
      <c r="K55" s="40" cm="1">
        <f t="array" ref="K55">MMULT(Tabla512[[#This Row],[Tarifas x horas ]],8)*Tabla512[[#This Row],[Vacaciones]]</f>
        <v>0</v>
      </c>
      <c r="L55" s="51">
        <f>Tabla512[[#This Row],[Sal. Dev]]-Tabla512[[#This Row],[Ausencias]]+Tabla512[[#This Row],[pago x Vacaciones]]</f>
        <v>7800</v>
      </c>
      <c r="M55" s="40">
        <f>5%*Tabla512[[#This Row],[Salario Neto]]</f>
        <v>390</v>
      </c>
      <c r="N55" s="42">
        <v>187.5</v>
      </c>
      <c r="O55" s="74">
        <f>Tabla512[[#This Row],[Sal. Dev]]-Tabla512[[#This Row],[Ausencias]]+Tabla512[[#This Row],[pago x Vacaciones]]-Tabla512[[#This Row],[importe Seg Social]]-Tabla512[[#This Row],[importe Ing Pers]]</f>
        <v>7222.5</v>
      </c>
    </row>
    <row r="56" spans="1:15" ht="15.9">
      <c r="A56" s="36">
        <v>25</v>
      </c>
      <c r="B56" s="79" t="str">
        <f>VLOOKUP(Tabla512[[#This Row],[No. Exp]],Tabla6[],2)</f>
        <v>Pedro Emilio Robaina Morales</v>
      </c>
      <c r="C56" s="33" t="str">
        <f>VLOOKUP(Tabla512[[#This Row],[No. Exp]],Tabla6[],3)</f>
        <v>02021968481</v>
      </c>
      <c r="D56" s="42">
        <f>D54</f>
        <v>192</v>
      </c>
      <c r="E56" s="42">
        <f>VLOOKUP(Tabla512[[#This Row],[No. Exp]],Tabla6[],5)</f>
        <v>40.625</v>
      </c>
      <c r="F56" s="40">
        <f>ROUND(Tabla512[[#This Row],[Horas Trabajadas]]*Tabla512[[#This Row],[Tarifas x horas ]],0)</f>
        <v>7800</v>
      </c>
      <c r="G56" s="40"/>
      <c r="H56" s="56">
        <f>Tabla512[[#This Row],[Salario Básico]]+Tabla512[[#This Row],[Bonif]]</f>
        <v>7800</v>
      </c>
      <c r="J56" s="52"/>
      <c r="K56" s="40" cm="1">
        <f t="array" ref="K56">MMULT(Tabla512[[#This Row],[Tarifas x horas ]],8)*Tabla512[[#This Row],[Vacaciones]]</f>
        <v>0</v>
      </c>
      <c r="L56" s="51">
        <f>Tabla512[[#This Row],[Sal. Dev]]-Tabla512[[#This Row],[Ausencias]]+Tabla512[[#This Row],[pago x Vacaciones]]</f>
        <v>7800</v>
      </c>
      <c r="M56" s="40">
        <f>5%*Tabla512[[#This Row],[Salario Neto]]</f>
        <v>390</v>
      </c>
      <c r="N56" s="42">
        <v>187.5</v>
      </c>
      <c r="O56" s="74">
        <f>Tabla512[[#This Row],[Sal. Dev]]-Tabla512[[#This Row],[Ausencias]]+Tabla512[[#This Row],[pago x Vacaciones]]-Tabla512[[#This Row],[importe Seg Social]]-Tabla512[[#This Row],[importe Ing Pers]]</f>
        <v>7222.5</v>
      </c>
    </row>
    <row r="57" spans="1:15" s="34" customFormat="1" ht="15.9">
      <c r="A57" s="34">
        <v>26</v>
      </c>
      <c r="B57" s="101" t="str">
        <f>VLOOKUP(Tabla512[[#This Row],[No. Exp]],Tabla6[],2)</f>
        <v>Nelson Darío Castro Pérez</v>
      </c>
      <c r="C57" s="44">
        <f>VLOOKUP(Tabla512[[#This Row],[No. Exp]],Tabla6[],3)</f>
        <v>97121108267</v>
      </c>
      <c r="D57" s="76">
        <f>D55</f>
        <v>192</v>
      </c>
      <c r="E57" s="76">
        <f>VLOOKUP(Tabla512[[#This Row],[No. Exp]],Tabla6[],5)</f>
        <v>40.625</v>
      </c>
      <c r="F57" s="43">
        <f>ROUND(Tabla512[[#This Row],[Horas Trabajadas]]*Tabla512[[#This Row],[Tarifas x horas ]],0)</f>
        <v>7800</v>
      </c>
      <c r="G57" s="43"/>
      <c r="H57" s="102">
        <f>Tabla512[[#This Row],[Salario Básico]]+Tabla512[[#This Row],[Bonif]]</f>
        <v>7800</v>
      </c>
      <c r="J57" s="55">
        <v>13.79</v>
      </c>
      <c r="K57" s="107" cm="1">
        <f t="array" ref="K57">MMULT(Tabla512[[#This Row],[Tarifas x horas ]],8)*Tabla512[[#This Row],[Vacaciones]]</f>
        <v>4481.75</v>
      </c>
      <c r="L57" s="104">
        <f>Tabla512[[#This Row],[Sal. Dev]]-Tabla512[[#This Row],[Ausencias]]+Tabla512[[#This Row],[pago x Vacaciones]]</f>
        <v>12281.75</v>
      </c>
      <c r="M57" s="76">
        <f>5%*Tabla512[[#This Row],[Salario Neto]]</f>
        <v>614.08750000000009</v>
      </c>
      <c r="N57" s="76">
        <v>187.5</v>
      </c>
      <c r="O57" s="77">
        <f>Tabla512[[#This Row],[Sal. Dev]]-Tabla512[[#This Row],[Ausencias]]+Tabla512[[#This Row],[pago x Vacaciones]]-Tabla512[[#This Row],[importe Seg Social]]-Tabla512[[#This Row],[importe Ing Pers]]</f>
        <v>11480.1625</v>
      </c>
    </row>
    <row r="58" spans="1:15" ht="15.9">
      <c r="A58" s="36">
        <v>27</v>
      </c>
      <c r="B58" s="79" t="str">
        <f>VLOOKUP(Tabla512[[#This Row],[No. Exp]],Tabla6[],2)</f>
        <v>Exsuan José Carvajal</v>
      </c>
      <c r="C58" s="33" t="str">
        <f>VLOOKUP(Tabla512[[#This Row],[No. Exp]],Tabla6[],3)</f>
        <v>97031207088</v>
      </c>
      <c r="D58" s="42">
        <f t="shared" si="2"/>
        <v>192</v>
      </c>
      <c r="E58" s="42">
        <f>VLOOKUP(Tabla512[[#This Row],[No. Exp]],Tabla6[],5)</f>
        <v>40.625</v>
      </c>
      <c r="F58" s="40">
        <f>ROUND(Tabla512[[#This Row],[Horas Trabajadas]]*Tabla512[[#This Row],[Tarifas x horas ]],0)</f>
        <v>7800</v>
      </c>
      <c r="G58" s="40"/>
      <c r="H58" s="56">
        <f>Tabla512[[#This Row],[Salario Básico]]+Tabla512[[#This Row],[Bonif]]</f>
        <v>7800</v>
      </c>
      <c r="J58" s="52"/>
      <c r="K58" s="40" cm="1">
        <f t="array" ref="K58">MMULT(Tabla512[[#This Row],[Tarifas x horas ]],8)*Tabla512[[#This Row],[Vacaciones]]</f>
        <v>0</v>
      </c>
      <c r="L58" s="51">
        <f>Tabla512[[#This Row],[Sal. Dev]]-Tabla512[[#This Row],[Ausencias]]+Tabla512[[#This Row],[pago x Vacaciones]]</f>
        <v>7800</v>
      </c>
      <c r="M58" s="40">
        <f>5%*Tabla512[[#This Row],[Salario Neto]]</f>
        <v>390</v>
      </c>
      <c r="N58" s="42">
        <v>187.5</v>
      </c>
      <c r="O58" s="74">
        <f>Tabla512[[#This Row],[Sal. Dev]]-Tabla512[[#This Row],[Ausencias]]+Tabla512[[#This Row],[pago x Vacaciones]]-Tabla512[[#This Row],[importe Seg Social]]-Tabla512[[#This Row],[importe Ing Pers]]</f>
        <v>7222.5</v>
      </c>
    </row>
    <row r="59" spans="1:15" ht="15.9">
      <c r="A59" s="36">
        <v>28</v>
      </c>
      <c r="B59" s="79" t="str">
        <f>VLOOKUP(Tabla512[[#This Row],[No. Exp]],Tabla6[],2)</f>
        <v>Nestor Suárez Martínez</v>
      </c>
      <c r="C59" s="33" t="str">
        <f>VLOOKUP(Tabla512[[#This Row],[No. Exp]],Tabla6[],3)</f>
        <v>92102030581</v>
      </c>
      <c r="D59" s="42">
        <f t="shared" si="2"/>
        <v>192</v>
      </c>
      <c r="E59" s="42">
        <f>VLOOKUP(Tabla512[[#This Row],[No. Exp]],Tabla6[],5)</f>
        <v>40.625</v>
      </c>
      <c r="F59" s="40">
        <f>ROUND(Tabla512[[#This Row],[Horas Trabajadas]]*Tabla512[[#This Row],[Tarifas x horas ]],0)</f>
        <v>7800</v>
      </c>
      <c r="G59" s="40"/>
      <c r="H59" s="56">
        <f>Tabla512[[#This Row],[Salario Básico]]+Tabla512[[#This Row],[Bonif]]</f>
        <v>7800</v>
      </c>
      <c r="J59" s="52"/>
      <c r="K59" s="40" cm="1">
        <f t="array" ref="K59">MMULT(Tabla512[[#This Row],[Tarifas x horas ]],8)*Tabla512[[#This Row],[Vacaciones]]</f>
        <v>0</v>
      </c>
      <c r="L59" s="51">
        <f>Tabla512[[#This Row],[Sal. Dev]]-Tabla512[[#This Row],[Ausencias]]+Tabla512[[#This Row],[pago x Vacaciones]]</f>
        <v>7800</v>
      </c>
      <c r="M59" s="40">
        <f>5%*Tabla512[[#This Row],[Salario Neto]]</f>
        <v>390</v>
      </c>
      <c r="N59" s="42">
        <v>187.5</v>
      </c>
      <c r="O59" s="74">
        <f>Tabla512[[#This Row],[Sal. Dev]]-Tabla512[[#This Row],[Ausencias]]+Tabla512[[#This Row],[pago x Vacaciones]]-Tabla512[[#This Row],[importe Seg Social]]-Tabla512[[#This Row],[importe Ing Pers]]</f>
        <v>7222.5</v>
      </c>
    </row>
    <row r="60" spans="1:15" ht="15.9">
      <c r="A60" s="36">
        <v>29</v>
      </c>
      <c r="B60" s="79" t="str">
        <f>VLOOKUP(Tabla512[[#This Row],[No. Exp]],Tabla6[],2)</f>
        <v>Rafael Arias Aldana</v>
      </c>
      <c r="C60" s="33" t="str">
        <f>VLOOKUP(Tabla512[[#This Row],[No. Exp]],Tabla6[],3)</f>
        <v>99120607402</v>
      </c>
      <c r="D60" s="42">
        <f t="shared" si="2"/>
        <v>192</v>
      </c>
      <c r="E60" s="42">
        <f>VLOOKUP(Tabla512[[#This Row],[No. Exp]],Tabla6[],5)</f>
        <v>40.625</v>
      </c>
      <c r="F60" s="40">
        <f>ROUND(Tabla512[[#This Row],[Horas Trabajadas]]*Tabla512[[#This Row],[Tarifas x horas ]],0)</f>
        <v>7800</v>
      </c>
      <c r="G60" s="40"/>
      <c r="H60" s="56">
        <f>Tabla512[[#This Row],[Salario Básico]]+Tabla512[[#This Row],[Bonif]]</f>
        <v>7800</v>
      </c>
      <c r="J60" s="52"/>
      <c r="K60" s="40" cm="1">
        <f t="array" ref="K60">MMULT(Tabla512[[#This Row],[Tarifas x horas ]],8)*Tabla512[[#This Row],[Vacaciones]]</f>
        <v>0</v>
      </c>
      <c r="L60" s="51">
        <f>Tabla512[[#This Row],[Sal. Dev]]-Tabla512[[#This Row],[Ausencias]]+Tabla512[[#This Row],[pago x Vacaciones]]</f>
        <v>7800</v>
      </c>
      <c r="M60" s="40">
        <f>5%*Tabla512[[#This Row],[Salario Neto]]</f>
        <v>390</v>
      </c>
      <c r="N60" s="42">
        <v>187.5</v>
      </c>
      <c r="O60" s="74">
        <f>Tabla512[[#This Row],[Sal. Dev]]-Tabla512[[#This Row],[Ausencias]]+Tabla512[[#This Row],[pago x Vacaciones]]-Tabla512[[#This Row],[importe Seg Social]]-Tabla512[[#This Row],[importe Ing Pers]]</f>
        <v>7222.5</v>
      </c>
    </row>
    <row r="61" spans="1:15" ht="15.9">
      <c r="A61" s="36">
        <v>94</v>
      </c>
      <c r="B61" s="81" t="str">
        <f>VLOOKUP(Tabla512[[#This Row],[No. Exp]],Tabla6[],2)</f>
        <v>Morganti Sollet Matos</v>
      </c>
      <c r="C61" s="36" t="str">
        <f>VLOOKUP(Tabla512[[#This Row],[No. Exp]],Tabla6[],3)</f>
        <v>02111067446</v>
      </c>
      <c r="D61" s="57">
        <v>192</v>
      </c>
      <c r="E61" s="36">
        <f>VLOOKUP(Tabla512[[#This Row],[No. Exp]],Tabla6[],5)</f>
        <v>40.625</v>
      </c>
      <c r="F61" s="36">
        <f>ROUND(Tabla512[[#This Row],[Horas Trabajadas]]*Tabla512[[#This Row],[Tarifas x horas ]],0)</f>
        <v>7800</v>
      </c>
      <c r="G61"/>
      <c r="H61" s="53">
        <f>Tabla512[[#This Row],[Salario Básico]]+Tabla512[[#This Row],[Bonif]]</f>
        <v>7800</v>
      </c>
      <c r="I61"/>
      <c r="J61" s="52"/>
      <c r="K61" s="40" cm="1">
        <f t="array" ref="K61">MMULT(Tabla512[[#This Row],[Tarifas x horas ]],8)*Tabla512[[#This Row],[Vacaciones]]</f>
        <v>0</v>
      </c>
      <c r="L61" s="51">
        <f>Tabla512[[#This Row],[Sal. Dev]]-Tabla512[[#This Row],[Ausencias]]+Tabla512[[#This Row],[pago x Vacaciones]]</f>
        <v>7800</v>
      </c>
      <c r="M61" s="40">
        <f>5%*Tabla512[[#This Row],[Salario Neto]]</f>
        <v>390</v>
      </c>
      <c r="N61" s="42">
        <v>187.5</v>
      </c>
      <c r="O61" s="74">
        <f>Tabla512[[#This Row],[Sal. Dev]]-Tabla512[[#This Row],[Ausencias]]+Tabla512[[#This Row],[pago x Vacaciones]]-Tabla512[[#This Row],[importe Seg Social]]-Tabla512[[#This Row],[importe Ing Pers]]</f>
        <v>7222.5</v>
      </c>
    </row>
    <row r="62" spans="1:15" ht="15.9">
      <c r="A62" s="36">
        <v>95</v>
      </c>
      <c r="B62" s="81" t="str">
        <f>VLOOKUP(Tabla512[[#This Row],[No. Exp]],Tabla6[],2)</f>
        <v>Favio Alameda Cuevas</v>
      </c>
      <c r="C62" s="36">
        <f>VLOOKUP(Tabla512[[#This Row],[No. Exp]],Tabla6[],3)</f>
        <v>96113009646</v>
      </c>
      <c r="D62" s="57">
        <v>192</v>
      </c>
      <c r="E62" s="36">
        <f>VLOOKUP(Tabla512[[#This Row],[No. Exp]],Tabla6[],5)</f>
        <v>40.625</v>
      </c>
      <c r="F62" s="36">
        <f>ROUND(Tabla512[[#This Row],[Horas Trabajadas]]*Tabla512[[#This Row],[Tarifas x horas ]],0)</f>
        <v>7800</v>
      </c>
      <c r="G62"/>
      <c r="H62" s="53">
        <f>Tabla512[[#This Row],[Salario Básico]]+Tabla512[[#This Row],[Bonif]]</f>
        <v>7800</v>
      </c>
      <c r="I62"/>
      <c r="J62" s="52"/>
      <c r="K62" s="40" cm="1">
        <f t="array" ref="K62">MMULT(Tabla512[[#This Row],[Tarifas x horas ]],8)*Tabla512[[#This Row],[Vacaciones]]</f>
        <v>0</v>
      </c>
      <c r="L62" s="51">
        <f>Tabla512[[#This Row],[Sal. Dev]]-Tabla512[[#This Row],[Ausencias]]+Tabla512[[#This Row],[pago x Vacaciones]]</f>
        <v>7800</v>
      </c>
      <c r="M62" s="40">
        <f>5%*Tabla512[[#This Row],[Salario Neto]]</f>
        <v>390</v>
      </c>
      <c r="N62" s="42">
        <v>187.5</v>
      </c>
      <c r="O62" s="74">
        <f>Tabla512[[#This Row],[Sal. Dev]]-Tabla512[[#This Row],[Ausencias]]+Tabla512[[#This Row],[pago x Vacaciones]]-Tabla512[[#This Row],[importe Seg Social]]-Tabla512[[#This Row],[importe Ing Pers]]</f>
        <v>7222.5</v>
      </c>
    </row>
    <row r="63" spans="1:15" ht="15.9">
      <c r="A63" s="36">
        <v>101</v>
      </c>
      <c r="B63" s="81" t="str">
        <f>VLOOKUP(Tabla512[[#This Row],[No. Exp]],Tabla6[],2)</f>
        <v>Samuel Fernández Suárez</v>
      </c>
      <c r="C63" s="36" t="str">
        <f>VLOOKUP(Tabla512[[#This Row],[No. Exp]],Tabla6[],3)</f>
        <v>98122020021</v>
      </c>
      <c r="D63" s="57">
        <v>192</v>
      </c>
      <c r="E63" s="36">
        <f>VLOOKUP(Tabla512[[#This Row],[No. Exp]],Tabla6[],5)</f>
        <v>40.625</v>
      </c>
      <c r="F63" s="36">
        <f>ROUND(Tabla512[[#This Row],[Horas Trabajadas]]*Tabla512[[#This Row],[Tarifas x horas ]],0)</f>
        <v>7800</v>
      </c>
      <c r="G63"/>
      <c r="H63" s="53">
        <f>Tabla512[[#This Row],[Salario Básico]]+Tabla512[[#This Row],[Bonif]]</f>
        <v>7800</v>
      </c>
      <c r="I63"/>
      <c r="J63" s="52"/>
      <c r="K63" s="40" cm="1">
        <f t="array" ref="K63">MMULT(Tabla512[[#This Row],[Tarifas x horas ]],8)*Tabla512[[#This Row],[Vacaciones]]</f>
        <v>0</v>
      </c>
      <c r="L63" s="51">
        <f>Tabla512[[#This Row],[Sal. Dev]]-Tabla512[[#This Row],[Ausencias]]+Tabla512[[#This Row],[pago x Vacaciones]]</f>
        <v>7800</v>
      </c>
      <c r="M63" s="40">
        <f>5%*Tabla512[[#This Row],[Salario Neto]]</f>
        <v>390</v>
      </c>
      <c r="N63" s="42">
        <v>187.5</v>
      </c>
      <c r="O63" s="74">
        <f>Tabla512[[#This Row],[Sal. Dev]]-Tabla512[[#This Row],[Ausencias]]+Tabla512[[#This Row],[pago x Vacaciones]]-Tabla512[[#This Row],[importe Seg Social]]-Tabla512[[#This Row],[importe Ing Pers]]</f>
        <v>7222.5</v>
      </c>
    </row>
    <row r="64" spans="1:15" ht="15.9">
      <c r="A64" s="46">
        <v>108</v>
      </c>
      <c r="B64" s="80" t="str">
        <f>VLOOKUP(Tabla512[[#This Row],[No. Exp]],Tabla6[],2)</f>
        <v xml:space="preserve">Enmanuel Oscar Fonseca Heredia  </v>
      </c>
      <c r="C64" s="48">
        <f>VLOOKUP(Tabla512[[#This Row],[No. Exp]],Tabla6[],3)</f>
        <v>87110730906</v>
      </c>
      <c r="D64" s="49">
        <v>144</v>
      </c>
      <c r="E64" s="49">
        <f>VLOOKUP(Tabla512[[#This Row],[No. Exp]],Tabla6[],5)</f>
        <v>40.625</v>
      </c>
      <c r="F64" s="46">
        <f>ROUND(Tabla512[[#This Row],[Horas Trabajadas]]*Tabla512[[#This Row],[Tarifas x horas ]],0)</f>
        <v>5850</v>
      </c>
      <c r="G64" s="46"/>
      <c r="H64" s="71">
        <f>Tabla512[[#This Row],[Salario Básico]]+Tabla512[[#This Row],[Bonif]]</f>
        <v>5850</v>
      </c>
      <c r="I64" s="35"/>
      <c r="J64" s="59"/>
      <c r="K64" s="46" cm="1">
        <f t="array" ref="K64">MMULT(Tabla512[[#This Row],[Tarifas x horas ]],8)*Tabla512[[#This Row],[Vacaciones]]</f>
        <v>0</v>
      </c>
      <c r="L64" s="72">
        <f>Tabla512[[#This Row],[Sal. Dev]]-Tabla512[[#This Row],[Ausencias]]+Tabla512[[#This Row],[pago x Vacaciones]]</f>
        <v>5850</v>
      </c>
      <c r="M64" s="35">
        <f>5%*Tabla512[[#This Row],[Salario Neto]]</f>
        <v>292.5</v>
      </c>
      <c r="N64" s="49">
        <v>187.5</v>
      </c>
      <c r="O64" s="103">
        <f>Tabla512[[#This Row],[Sal. Dev]]-Tabla512[[#This Row],[Ausencias]]+Tabla512[[#This Row],[pago x Vacaciones]]-Tabla512[[#This Row],[importe Seg Social]]-Tabla512[[#This Row],[importe Ing Pers]]</f>
        <v>5370</v>
      </c>
    </row>
    <row r="65" spans="1:15" ht="15.9">
      <c r="A65"/>
      <c r="B65" s="81"/>
      <c r="C65"/>
      <c r="D65" s="57"/>
      <c r="G65"/>
      <c r="H65" s="53"/>
      <c r="I65"/>
      <c r="J65" s="52"/>
      <c r="K65" s="40"/>
      <c r="L65" s="51"/>
      <c r="M65" s="40"/>
      <c r="N65" s="42"/>
      <c r="O65" s="74"/>
    </row>
    <row r="66" spans="1:15" ht="15.9">
      <c r="A66"/>
      <c r="B66" s="81"/>
      <c r="C66"/>
      <c r="D66" s="57"/>
      <c r="G66"/>
      <c r="H66" s="53"/>
      <c r="I66"/>
      <c r="J66" s="52"/>
      <c r="K66" s="40"/>
      <c r="L66" s="51"/>
      <c r="M66" s="40"/>
      <c r="N66" s="42"/>
      <c r="O66" s="74"/>
    </row>
    <row r="67" spans="1:15" ht="15.9">
      <c r="A67"/>
      <c r="B67" s="81"/>
      <c r="C67"/>
      <c r="D67" s="57"/>
      <c r="G67"/>
      <c r="H67" s="53"/>
      <c r="I67"/>
      <c r="J67" s="52"/>
      <c r="K67" s="40"/>
      <c r="L67" s="51"/>
      <c r="M67" s="40"/>
      <c r="N67" s="42"/>
      <c r="O67" s="74"/>
    </row>
    <row r="68" spans="1:15" ht="15.9">
      <c r="A68"/>
      <c r="B68" s="81"/>
      <c r="C68"/>
      <c r="D68" s="57"/>
      <c r="G68"/>
      <c r="H68" s="53"/>
      <c r="I68"/>
      <c r="J68" s="52"/>
      <c r="K68" s="40"/>
      <c r="L68" s="51"/>
      <c r="M68" s="40"/>
      <c r="N68" s="42"/>
      <c r="O68" s="74"/>
    </row>
    <row r="69" spans="1:15" ht="15.9">
      <c r="A69"/>
      <c r="B69" s="83" t="s">
        <v>203</v>
      </c>
      <c r="C69"/>
      <c r="D69" s="57"/>
      <c r="G69"/>
      <c r="H69" s="53"/>
      <c r="I69"/>
      <c r="J69" s="52"/>
      <c r="K69" s="40"/>
      <c r="L69" s="51"/>
      <c r="M69" s="40"/>
      <c r="N69" s="42"/>
      <c r="O69" s="74"/>
    </row>
    <row r="70" spans="1:15" ht="15.9">
      <c r="A70"/>
      <c r="B70" s="81"/>
      <c r="C70"/>
      <c r="D70" s="57"/>
      <c r="G70"/>
      <c r="H70" s="53"/>
      <c r="I70"/>
      <c r="J70" s="52"/>
      <c r="K70" s="40"/>
      <c r="L70" s="51"/>
      <c r="M70" s="40"/>
      <c r="N70" s="42"/>
      <c r="O70" s="74"/>
    </row>
    <row r="71" spans="1:15" ht="18.45">
      <c r="A71" s="453" t="s">
        <v>0</v>
      </c>
      <c r="B71" s="453"/>
      <c r="C71" s="37"/>
      <c r="D71" s="37"/>
      <c r="I71" s="33" t="s">
        <v>1</v>
      </c>
      <c r="J71" s="33" t="s">
        <v>2</v>
      </c>
      <c r="K71" s="127">
        <f>K5</f>
        <v>45901</v>
      </c>
      <c r="L71" s="50" t="s">
        <v>3</v>
      </c>
      <c r="M71" s="127">
        <f>M5</f>
        <v>45930</v>
      </c>
      <c r="N71" s="33"/>
    </row>
    <row r="72" spans="1:15">
      <c r="A72" s="449" t="s">
        <v>4</v>
      </c>
      <c r="B72" s="449"/>
      <c r="C72" s="38" t="str">
        <f>C6</f>
        <v>Amanda Marcano Bahler</v>
      </c>
    </row>
    <row r="73" spans="1:15">
      <c r="A73" s="449" t="s">
        <v>5</v>
      </c>
      <c r="B73" s="449"/>
      <c r="C73" s="39"/>
      <c r="L73" s="36" t="str">
        <f>L7</f>
        <v>Horas:</v>
      </c>
      <c r="M73" s="38">
        <f>M7</f>
        <v>192</v>
      </c>
    </row>
    <row r="75" spans="1:15" ht="18.45">
      <c r="A75" s="452" t="s">
        <v>7</v>
      </c>
      <c r="B75" s="452"/>
      <c r="C75" s="28" t="s">
        <v>19</v>
      </c>
      <c r="L75" s="449" t="s">
        <v>9</v>
      </c>
      <c r="M75" s="449"/>
    </row>
    <row r="76" spans="1:15" s="24" customFormat="1" ht="27.75" customHeight="1">
      <c r="A76" s="87" t="s">
        <v>10</v>
      </c>
      <c r="B76" s="87" t="s">
        <v>11</v>
      </c>
      <c r="C76" s="87" t="s">
        <v>12</v>
      </c>
      <c r="D76" s="88" t="s">
        <v>198</v>
      </c>
      <c r="E76" s="87" t="s">
        <v>190</v>
      </c>
      <c r="F76" s="87" t="s">
        <v>189</v>
      </c>
      <c r="G76" s="87" t="s">
        <v>14</v>
      </c>
      <c r="H76" s="89" t="s">
        <v>15</v>
      </c>
      <c r="I76" s="90" t="s">
        <v>197</v>
      </c>
      <c r="J76" s="87" t="s">
        <v>9</v>
      </c>
      <c r="K76" s="87" t="s">
        <v>16</v>
      </c>
      <c r="L76" s="90" t="s">
        <v>196</v>
      </c>
      <c r="M76" s="88" t="s">
        <v>194</v>
      </c>
      <c r="N76" s="87" t="s">
        <v>195</v>
      </c>
      <c r="O76" s="91" t="s">
        <v>191</v>
      </c>
    </row>
    <row r="77" spans="1:15" ht="15.9">
      <c r="A77" s="40">
        <v>30</v>
      </c>
      <c r="B77" s="79" t="str">
        <f>VLOOKUP(Tabla51213[[#This Row],[No. Exp]],Tabla6[],2)</f>
        <v>María Eugenia Cuevas Aguilera</v>
      </c>
      <c r="C77" s="40">
        <f>VLOOKUP(Tabla51213[[#This Row],[No. Exp]],Tabla6[],3)</f>
        <v>83120324816</v>
      </c>
      <c r="D77" s="42">
        <f>M73</f>
        <v>192</v>
      </c>
      <c r="E77" s="42">
        <f>VLOOKUP(Tabla51213[[#This Row],[No. Exp]],Tabla6[],5)</f>
        <v>41.665999999999997</v>
      </c>
      <c r="F77" s="40">
        <f>ROUND(Tabla51213[[#This Row],[Horas Trabajadas]]*Tabla51213[[#This Row],[Tarifas por horas]],0)</f>
        <v>8000</v>
      </c>
      <c r="G77" s="40"/>
      <c r="H77" s="56">
        <f>Tabla51213[[#This Row],[Salario Básico]]+Tabla51213[[#This Row],[Bonif]]</f>
        <v>8000</v>
      </c>
      <c r="I77" s="40"/>
      <c r="J77" s="52">
        <v>8</v>
      </c>
      <c r="K77" s="40" cm="1">
        <f t="array" ref="K77">MMULT(Tabla51213[[#This Row],[Tarifas por horas]],8)*Tabla51213[[#This Row],[Vacaciones]]</f>
        <v>2666.6239999999998</v>
      </c>
      <c r="L77" s="51">
        <f>Tabla51213[[#This Row],[Sal. Dev]]-Tabla51213[[#This Row],[Ausencias]]+Tabla51213[[#This Row],[pago x vacaciones]]</f>
        <v>10666.624</v>
      </c>
      <c r="M77" s="40">
        <f>5%*Tabla51213[[#This Row],[Salario Neto]]</f>
        <v>533.33119999999997</v>
      </c>
      <c r="N77" s="42">
        <v>187.5</v>
      </c>
      <c r="O77" s="74">
        <f>Tabla51213[[#This Row],[Sal. Dev]]-Tabla51213[[#This Row],[Ausencias]]+Tabla51213[[#This Row],[pago x vacaciones]]-Tabla51213[[#This Row],[importe Seg Social]]-Tabla51213[[#This Row],[importe Ing Pers]]</f>
        <v>9945.7927999999993</v>
      </c>
    </row>
    <row r="78" spans="1:15" ht="15.9">
      <c r="A78" s="36">
        <v>31</v>
      </c>
      <c r="B78" s="78" t="str">
        <f>VLOOKUP(Tabla51213[[#This Row],[No. Exp]],Tabla6[],2)</f>
        <v>Yadira Araújo Zaldívar</v>
      </c>
      <c r="C78" s="33">
        <f>VLOOKUP(Tabla51213[[#This Row],[No. Exp]],Tabla6[],3)</f>
        <v>84082204876</v>
      </c>
      <c r="D78" s="41">
        <f>M73</f>
        <v>192</v>
      </c>
      <c r="E78" s="41">
        <f>VLOOKUP(Tabla51213[[#This Row],[No. Exp]],Tabla6[],5)</f>
        <v>41.665999999999997</v>
      </c>
      <c r="F78" s="40">
        <f>ROUND(Tabla51213[[#This Row],[Horas Trabajadas]]*Tabla51213[[#This Row],[Tarifas por horas]],0)</f>
        <v>8000</v>
      </c>
      <c r="G78" s="40"/>
      <c r="H78" s="51">
        <f>Tabla51213[[#This Row],[Salario Básico]]+Tabla51213[[#This Row],[Bonif]]</f>
        <v>8000</v>
      </c>
      <c r="I78" s="51"/>
      <c r="J78" s="52"/>
      <c r="K78" s="40" cm="1">
        <f t="array" ref="K78">MMULT(Tabla51213[[#This Row],[Tarifas por horas]],8)*Tabla51213[[#This Row],[Vacaciones]]</f>
        <v>0</v>
      </c>
      <c r="L78" s="51">
        <f>Tabla51213[[#This Row],[Sal. Dev]]-Tabla51213[[#This Row],[Ausencias]]+Tabla51213[[#This Row],[pago x vacaciones]]</f>
        <v>8000</v>
      </c>
      <c r="M78" s="40">
        <f>5%*Tabla51213[[#This Row],[Salario Neto]]</f>
        <v>400</v>
      </c>
      <c r="N78" s="42">
        <v>187.5</v>
      </c>
      <c r="O78" s="74">
        <f>Tabla51213[[#This Row],[Sal. Dev]]-Tabla51213[[#This Row],[Ausencias]]+Tabla51213[[#This Row],[pago x vacaciones]]-Tabla51213[[#This Row],[importe Seg Social]]-Tabla51213[[#This Row],[importe Ing Pers]]</f>
        <v>7412.5</v>
      </c>
    </row>
    <row r="79" spans="1:15" ht="15.9">
      <c r="A79" s="36">
        <v>32</v>
      </c>
      <c r="B79" s="79" t="str">
        <f>VLOOKUP(Tabla51213[[#This Row],[No. Exp]],Tabla6[],2)</f>
        <v>Jaila Victoria Vázquez Delgado</v>
      </c>
      <c r="C79" s="33" t="str">
        <f>VLOOKUP(Tabla51213[[#This Row],[No. Exp]],Tabla6[],3)</f>
        <v>02100773092</v>
      </c>
      <c r="D79" s="42">
        <f t="shared" ref="D79:D88" si="3">D78</f>
        <v>192</v>
      </c>
      <c r="E79" s="42">
        <f>VLOOKUP(Tabla51213[[#This Row],[No. Exp]],Tabla6[],5)</f>
        <v>41.665999999999997</v>
      </c>
      <c r="F79" s="40">
        <f>ROUND(Tabla51213[[#This Row],[Horas Trabajadas]]*Tabla51213[[#This Row],[Tarifas por horas]],0)</f>
        <v>8000</v>
      </c>
      <c r="G79" s="40"/>
      <c r="H79" s="51">
        <f>Tabla51213[[#This Row],[Salario Básico]]+Tabla51213[[#This Row],[Bonif]]</f>
        <v>8000</v>
      </c>
      <c r="I79" s="51"/>
      <c r="J79" s="52"/>
      <c r="K79" s="40" cm="1">
        <f t="array" ref="K79">MMULT(Tabla51213[[#This Row],[Tarifas por horas]],8)*Tabla51213[[#This Row],[Vacaciones]]</f>
        <v>0</v>
      </c>
      <c r="L79" s="51">
        <f>Tabla51213[[#This Row],[Sal. Dev]]-Tabla51213[[#This Row],[Ausencias]]+Tabla51213[[#This Row],[pago x vacaciones]]</f>
        <v>8000</v>
      </c>
      <c r="M79" s="40">
        <f>5%*Tabla51213[[#This Row],[Salario Neto]]</f>
        <v>400</v>
      </c>
      <c r="N79" s="42">
        <v>187.5</v>
      </c>
      <c r="O79" s="74">
        <f>Tabla51213[[#This Row],[Sal. Dev]]-Tabla51213[[#This Row],[Ausencias]]+Tabla51213[[#This Row],[pago x vacaciones]]-Tabla51213[[#This Row],[importe Seg Social]]-Tabla51213[[#This Row],[importe Ing Pers]]</f>
        <v>7412.5</v>
      </c>
    </row>
    <row r="80" spans="1:15" ht="15.9">
      <c r="A80" s="36">
        <v>33</v>
      </c>
      <c r="B80" s="79" t="str">
        <f>VLOOKUP(Tabla51213[[#This Row],[No. Exp]],Tabla6[],2)</f>
        <v>Daned Montesino Hernández</v>
      </c>
      <c r="C80" s="33" t="str">
        <f>VLOOKUP(Tabla51213[[#This Row],[No. Exp]],Tabla6[],3)</f>
        <v>77020101011</v>
      </c>
      <c r="D80" s="42">
        <f t="shared" si="3"/>
        <v>192</v>
      </c>
      <c r="E80" s="42">
        <f>VLOOKUP(Tabla51213[[#This Row],[No. Exp]],Tabla6[],5)</f>
        <v>41.665999999999997</v>
      </c>
      <c r="F80" s="40">
        <f>ROUND(Tabla51213[[#This Row],[Horas Trabajadas]]*Tabla51213[[#This Row],[Tarifas por horas]],0)</f>
        <v>8000</v>
      </c>
      <c r="G80" s="40"/>
      <c r="H80" s="51">
        <f>Tabla51213[[#This Row],[Salario Básico]]+Tabla51213[[#This Row],[Bonif]]</f>
        <v>8000</v>
      </c>
      <c r="J80" s="52"/>
      <c r="K80" s="40" cm="1">
        <f t="array" ref="K80">MMULT(Tabla51213[[#This Row],[Tarifas por horas]],8)*Tabla51213[[#This Row],[Vacaciones]]</f>
        <v>0</v>
      </c>
      <c r="L80" s="51">
        <f>Tabla51213[[#This Row],[Sal. Dev]]-Tabla51213[[#This Row],[Ausencias]]+Tabla51213[[#This Row],[pago x vacaciones]]</f>
        <v>8000</v>
      </c>
      <c r="M80" s="40">
        <f>5%*Tabla51213[[#This Row],[Salario Neto]]</f>
        <v>400</v>
      </c>
      <c r="N80" s="42">
        <v>187.5</v>
      </c>
      <c r="O80" s="74">
        <f>Tabla51213[[#This Row],[Sal. Dev]]-Tabla51213[[#This Row],[Ausencias]]+Tabla51213[[#This Row],[pago x vacaciones]]-Tabla51213[[#This Row],[importe Seg Social]]-Tabla51213[[#This Row],[importe Ing Pers]]</f>
        <v>7412.5</v>
      </c>
    </row>
    <row r="81" spans="1:15" ht="15.9">
      <c r="A81" s="36">
        <v>34</v>
      </c>
      <c r="B81" s="79" t="str">
        <f>VLOOKUP(Tabla51213[[#This Row],[No. Exp]],Tabla6[],2)</f>
        <v>Lia León López</v>
      </c>
      <c r="C81" s="33" t="str">
        <f>VLOOKUP(Tabla51213[[#This Row],[No. Exp]],Tabla6[],3)</f>
        <v>02051466891</v>
      </c>
      <c r="D81" s="42">
        <f t="shared" si="3"/>
        <v>192</v>
      </c>
      <c r="E81" s="42">
        <f>VLOOKUP(Tabla51213[[#This Row],[No. Exp]],Tabla6[],5)</f>
        <v>41.665999999999997</v>
      </c>
      <c r="F81" s="40">
        <f>ROUND(Tabla51213[[#This Row],[Horas Trabajadas]]*Tabla51213[[#This Row],[Tarifas por horas]],0)</f>
        <v>8000</v>
      </c>
      <c r="G81" s="40"/>
      <c r="H81" s="51">
        <f>Tabla51213[[#This Row],[Salario Básico]]+Tabla51213[[#This Row],[Bonif]]</f>
        <v>8000</v>
      </c>
      <c r="J81" s="52"/>
      <c r="K81" s="40" cm="1">
        <f t="array" ref="K81">MMULT(Tabla51213[[#This Row],[Tarifas por horas]],8)*Tabla51213[[#This Row],[Vacaciones]]</f>
        <v>0</v>
      </c>
      <c r="L81" s="51">
        <f>Tabla51213[[#This Row],[Sal. Dev]]-Tabla51213[[#This Row],[Ausencias]]+Tabla51213[[#This Row],[pago x vacaciones]]</f>
        <v>8000</v>
      </c>
      <c r="M81" s="40">
        <f>5%*Tabla51213[[#This Row],[Salario Neto]]</f>
        <v>400</v>
      </c>
      <c r="N81" s="42">
        <v>187.5</v>
      </c>
      <c r="O81" s="74">
        <f>Tabla51213[[#This Row],[Sal. Dev]]-Tabla51213[[#This Row],[Ausencias]]+Tabla51213[[#This Row],[pago x vacaciones]]-Tabla51213[[#This Row],[importe Seg Social]]-Tabla51213[[#This Row],[importe Ing Pers]]</f>
        <v>7412.5</v>
      </c>
    </row>
    <row r="82" spans="1:15" ht="15.9">
      <c r="A82" s="36">
        <v>36</v>
      </c>
      <c r="B82" s="79" t="str">
        <f>VLOOKUP(Tabla51213[[#This Row],[No. Exp]],Tabla6[],2)</f>
        <v>Janet Martínez Rodríguez</v>
      </c>
      <c r="C82" s="33">
        <f>VLOOKUP(Tabla51213[[#This Row],[No. Exp]],Tabla6[],3)</f>
        <v>76120900718</v>
      </c>
      <c r="D82" s="42">
        <v>192</v>
      </c>
      <c r="E82" s="42">
        <f>VLOOKUP(Tabla51213[[#This Row],[No. Exp]],Tabla6[],5)</f>
        <v>41.665999999999997</v>
      </c>
      <c r="F82" s="40">
        <f>ROUND(Tabla51213[[#This Row],[Horas Trabajadas]]*Tabla51213[[#This Row],[Tarifas por horas]],0)</f>
        <v>8000</v>
      </c>
      <c r="G82" s="40"/>
      <c r="H82" s="56">
        <f>Tabla51213[[#This Row],[Salario Básico]]+Tabla51213[[#This Row],[Bonif]]</f>
        <v>8000</v>
      </c>
      <c r="J82" s="52"/>
      <c r="K82" s="40" cm="1">
        <f t="array" ref="K82">MMULT(Tabla51213[[#This Row],[Tarifas por horas]],8)*Tabla51213[[#This Row],[Vacaciones]]</f>
        <v>0</v>
      </c>
      <c r="L82" s="51">
        <f>Tabla51213[[#This Row],[Sal. Dev]]-Tabla51213[[#This Row],[Ausencias]]+Tabla51213[[#This Row],[pago x vacaciones]]</f>
        <v>8000</v>
      </c>
      <c r="M82" s="40">
        <f>5%*Tabla51213[[#This Row],[Salario Neto]]</f>
        <v>400</v>
      </c>
      <c r="N82" s="42">
        <v>187.5</v>
      </c>
      <c r="O82" s="74">
        <f>Tabla51213[[#This Row],[Sal. Dev]]-Tabla51213[[#This Row],[Ausencias]]+Tabla51213[[#This Row],[pago x vacaciones]]-Tabla51213[[#This Row],[importe Seg Social]]-Tabla51213[[#This Row],[importe Ing Pers]]</f>
        <v>7412.5</v>
      </c>
    </row>
    <row r="83" spans="1:15" s="34" customFormat="1" ht="15.9">
      <c r="A83" s="34">
        <v>37</v>
      </c>
      <c r="B83" s="101" t="str">
        <f>VLOOKUP(Tabla51213[[#This Row],[No. Exp]],Tabla6[],2)</f>
        <v xml:space="preserve">Gabriel González Melcon </v>
      </c>
      <c r="C83" s="44">
        <f>VLOOKUP(Tabla51213[[#This Row],[No. Exp]],Tabla6[],3)</f>
        <v>98032015962</v>
      </c>
      <c r="D83" s="76">
        <f t="shared" si="3"/>
        <v>192</v>
      </c>
      <c r="E83" s="76">
        <f>VLOOKUP(Tabla51213[[#This Row],[No. Exp]],Tabla6[],5)</f>
        <v>41.665999999999997</v>
      </c>
      <c r="F83" s="43">
        <f>ROUND(Tabla51213[[#This Row],[Horas Trabajadas]]*Tabla51213[[#This Row],[Tarifas por horas]],0)</f>
        <v>8000</v>
      </c>
      <c r="G83" s="43"/>
      <c r="H83" s="102">
        <f>Tabla51213[[#This Row],[Salario Básico]]+Tabla51213[[#This Row],[Bonif]]</f>
        <v>8000</v>
      </c>
      <c r="J83" s="55">
        <v>28.34</v>
      </c>
      <c r="K83" s="76" cm="1">
        <f t="array" ref="K83">MMULT(Tabla51213[[#This Row],[Tarifas por horas]],8)*Tabla51213[[#This Row],[Vacaciones]]</f>
        <v>9446.515519999999</v>
      </c>
      <c r="L83" s="104">
        <f>Tabla51213[[#This Row],[Sal. Dev]]-Tabla51213[[#This Row],[Ausencias]]+Tabla51213[[#This Row],[pago x vacaciones]]</f>
        <v>17446.515520000001</v>
      </c>
      <c r="M83" s="76">
        <f>5%*Tabla51213[[#This Row],[Salario Neto]]</f>
        <v>872.32577600000013</v>
      </c>
      <c r="N83" s="76">
        <v>187.5</v>
      </c>
      <c r="O83" s="77">
        <f>Tabla51213[[#This Row],[Sal. Dev]]-Tabla51213[[#This Row],[Ausencias]]+Tabla51213[[#This Row],[pago x vacaciones]]-Tabla51213[[#This Row],[importe Seg Social]]-Tabla51213[[#This Row],[importe Ing Pers]]</f>
        <v>16386.689743999999</v>
      </c>
    </row>
    <row r="84" spans="1:15" s="34" customFormat="1" ht="15.9">
      <c r="A84" s="34">
        <v>38</v>
      </c>
      <c r="B84" s="101" t="str">
        <f>VLOOKUP(Tabla51213[[#This Row],[No. Exp]],Tabla6[],2)</f>
        <v>Camila González Amable</v>
      </c>
      <c r="C84" s="44" t="str">
        <f>VLOOKUP(Tabla51213[[#This Row],[No. Exp]],Tabla6[],3)</f>
        <v>00110264738</v>
      </c>
      <c r="D84" s="76">
        <f t="shared" si="3"/>
        <v>192</v>
      </c>
      <c r="E84" s="76">
        <f>VLOOKUP(Tabla51213[[#This Row],[No. Exp]],Tabla6[],5)</f>
        <v>41.665999999999997</v>
      </c>
      <c r="F84" s="43">
        <f>ROUND(Tabla51213[[#This Row],[Horas Trabajadas]]*Tabla51213[[#This Row],[Tarifas por horas]],0)</f>
        <v>8000</v>
      </c>
      <c r="G84" s="43"/>
      <c r="H84" s="102">
        <f>Tabla51213[[#This Row],[Salario Básico]]+Tabla51213[[#This Row],[Bonif]]</f>
        <v>8000</v>
      </c>
      <c r="J84" s="55">
        <v>23.34</v>
      </c>
      <c r="K84" s="76" cm="1">
        <f t="array" ref="K84">MMULT(Tabla51213[[#This Row],[Tarifas por horas]],8)*Tabla51213[[#This Row],[Vacaciones]]</f>
        <v>7779.8755199999996</v>
      </c>
      <c r="L84" s="104">
        <f>Tabla51213[[#This Row],[Sal. Dev]]-Tabla51213[[#This Row],[Ausencias]]+Tabla51213[[#This Row],[pago x vacaciones]]</f>
        <v>15779.87552</v>
      </c>
      <c r="M84" s="76">
        <f>5%*Tabla51213[[#This Row],[Salario Neto]]</f>
        <v>788.99377600000003</v>
      </c>
      <c r="N84" s="76">
        <v>187.5</v>
      </c>
      <c r="O84" s="77">
        <f>Tabla51213[[#This Row],[Sal. Dev]]-Tabla51213[[#This Row],[Ausencias]]+Tabla51213[[#This Row],[pago x vacaciones]]-Tabla51213[[#This Row],[importe Seg Social]]-Tabla51213[[#This Row],[importe Ing Pers]]</f>
        <v>14803.381744</v>
      </c>
    </row>
    <row r="85" spans="1:15" ht="24.75" customHeight="1">
      <c r="A85" s="36">
        <v>39</v>
      </c>
      <c r="B85" s="79" t="str">
        <f>VLOOKUP(Tabla51213[[#This Row],[No. Exp]],Tabla6[],2)</f>
        <v>Elizabeth Hernández González</v>
      </c>
      <c r="C85" s="33">
        <f>VLOOKUP(Tabla51213[[#This Row],[No. Exp]],Tabla6[],3)</f>
        <v>95111328273</v>
      </c>
      <c r="D85" s="42">
        <f t="shared" si="3"/>
        <v>192</v>
      </c>
      <c r="E85" s="42">
        <f>VLOOKUP(Tabla51213[[#This Row],[No. Exp]],Tabla6[],5)</f>
        <v>41.665999999999997</v>
      </c>
      <c r="F85" s="40">
        <f>ROUND(Tabla51213[[#This Row],[Horas Trabajadas]]*Tabla51213[[#This Row],[Tarifas por horas]],0)</f>
        <v>8000</v>
      </c>
      <c r="G85" s="40"/>
      <c r="H85" s="56">
        <f>Tabla51213[[#This Row],[Salario Básico]]+Tabla51213[[#This Row],[Bonif]]</f>
        <v>8000</v>
      </c>
      <c r="J85" s="52"/>
      <c r="K85" s="40" cm="1">
        <f t="array" ref="K85">MMULT(Tabla51213[[#This Row],[Tarifas por horas]],8)*Tabla51213[[#This Row],[Vacaciones]]</f>
        <v>0</v>
      </c>
      <c r="L85" s="51">
        <f>Tabla51213[[#This Row],[Sal. Dev]]-Tabla51213[[#This Row],[Ausencias]]+Tabla51213[[#This Row],[pago x vacaciones]]</f>
        <v>8000</v>
      </c>
      <c r="M85" s="40">
        <f>5%*Tabla51213[[#This Row],[Salario Neto]]</f>
        <v>400</v>
      </c>
      <c r="N85" s="42">
        <v>187.5</v>
      </c>
      <c r="O85" s="74">
        <f>Tabla51213[[#This Row],[Sal. Dev]]-Tabla51213[[#This Row],[Ausencias]]+Tabla51213[[#This Row],[pago x vacaciones]]-Tabla51213[[#This Row],[importe Seg Social]]-Tabla51213[[#This Row],[importe Ing Pers]]</f>
        <v>7412.5</v>
      </c>
    </row>
    <row r="86" spans="1:15" ht="15.9">
      <c r="A86" s="36">
        <v>40</v>
      </c>
      <c r="B86" s="79" t="str">
        <f>VLOOKUP(Tabla51213[[#This Row],[No. Exp]],Tabla6[],2)</f>
        <v xml:space="preserve">Yunet de la Caridad Sotelo Porto </v>
      </c>
      <c r="C86" s="33" t="str">
        <f>VLOOKUP(Tabla51213[[#This Row],[No. Exp]],Tabla6[],3)</f>
        <v>85032505213</v>
      </c>
      <c r="D86" s="42">
        <f t="shared" si="3"/>
        <v>192</v>
      </c>
      <c r="E86" s="42">
        <f>VLOOKUP(Tabla51213[[#This Row],[No. Exp]],Tabla6[],5)</f>
        <v>41.665999999999997</v>
      </c>
      <c r="F86" s="40">
        <f>ROUND(Tabla51213[[#This Row],[Horas Trabajadas]]*Tabla51213[[#This Row],[Tarifas por horas]],0)</f>
        <v>8000</v>
      </c>
      <c r="G86" s="40"/>
      <c r="H86" s="56">
        <f>Tabla51213[[#This Row],[Salario Básico]]+Tabla51213[[#This Row],[Bonif]]</f>
        <v>8000</v>
      </c>
      <c r="J86" s="52"/>
      <c r="K86" s="40" cm="1">
        <f t="array" ref="K86">MMULT(Tabla51213[[#This Row],[Tarifas por horas]],8)*Tabla51213[[#This Row],[Vacaciones]]</f>
        <v>0</v>
      </c>
      <c r="L86" s="51">
        <f>Tabla51213[[#This Row],[Sal. Dev]]-Tabla51213[[#This Row],[Ausencias]]+Tabla51213[[#This Row],[pago x vacaciones]]</f>
        <v>8000</v>
      </c>
      <c r="M86" s="40">
        <f>5%*Tabla51213[[#This Row],[Salario Neto]]</f>
        <v>400</v>
      </c>
      <c r="N86" s="42">
        <v>187.5</v>
      </c>
      <c r="O86" s="74">
        <f>Tabla51213[[#This Row],[Sal. Dev]]-Tabla51213[[#This Row],[Ausencias]]+Tabla51213[[#This Row],[pago x vacaciones]]-Tabla51213[[#This Row],[importe Seg Social]]-Tabla51213[[#This Row],[importe Ing Pers]]</f>
        <v>7412.5</v>
      </c>
    </row>
    <row r="87" spans="1:15" ht="15.9">
      <c r="A87" s="36">
        <v>41</v>
      </c>
      <c r="B87" s="79" t="str">
        <f>VLOOKUP(Tabla51213[[#This Row],[No. Exp]],Tabla6[],2)</f>
        <v>Michel del Sol Hernández</v>
      </c>
      <c r="C87" s="33" t="str">
        <f>VLOOKUP(Tabla51213[[#This Row],[No. Exp]],Tabla6[],3)</f>
        <v>00010376089</v>
      </c>
      <c r="D87" s="42">
        <f t="shared" si="3"/>
        <v>192</v>
      </c>
      <c r="E87" s="42">
        <f>VLOOKUP(Tabla51213[[#This Row],[No. Exp]],Tabla6[],5)</f>
        <v>41.665999999999997</v>
      </c>
      <c r="F87" s="40">
        <f>ROUND(Tabla51213[[#This Row],[Horas Trabajadas]]*Tabla51213[[#This Row],[Tarifas por horas]],0)</f>
        <v>8000</v>
      </c>
      <c r="G87" s="40"/>
      <c r="H87" s="56">
        <f>Tabla51213[[#This Row],[Salario Básico]]+Tabla51213[[#This Row],[Bonif]]</f>
        <v>8000</v>
      </c>
      <c r="J87" s="52"/>
      <c r="K87" s="40" cm="1">
        <f t="array" ref="K87">MMULT(Tabla51213[[#This Row],[Tarifas por horas]],8)*Tabla51213[[#This Row],[Vacaciones]]</f>
        <v>0</v>
      </c>
      <c r="L87" s="51">
        <f>Tabla51213[[#This Row],[Sal. Dev]]-Tabla51213[[#This Row],[Ausencias]]+Tabla51213[[#This Row],[pago x vacaciones]]</f>
        <v>8000</v>
      </c>
      <c r="M87" s="40">
        <f>5%*Tabla51213[[#This Row],[Salario Neto]]</f>
        <v>400</v>
      </c>
      <c r="N87" s="42">
        <v>187.5</v>
      </c>
      <c r="O87" s="74">
        <f>Tabla51213[[#This Row],[Sal. Dev]]-Tabla51213[[#This Row],[Ausencias]]+Tabla51213[[#This Row],[pago x vacaciones]]-Tabla51213[[#This Row],[importe Seg Social]]-Tabla51213[[#This Row],[importe Ing Pers]]</f>
        <v>7412.5</v>
      </c>
    </row>
    <row r="88" spans="1:15" ht="15.9">
      <c r="A88" s="36">
        <v>42</v>
      </c>
      <c r="B88" s="79" t="str">
        <f>VLOOKUP(Tabla51213[[#This Row],[No. Exp]],Tabla6[],2)</f>
        <v>Laura Lobaina Llera</v>
      </c>
      <c r="C88" s="33" t="str">
        <f>VLOOKUP(Tabla51213[[#This Row],[No. Exp]],Tabla6[],3)</f>
        <v>95092328970</v>
      </c>
      <c r="D88" s="42">
        <f t="shared" si="3"/>
        <v>192</v>
      </c>
      <c r="E88" s="42">
        <f>VLOOKUP(Tabla51213[[#This Row],[No. Exp]],Tabla6[],5)</f>
        <v>41.665999999999997</v>
      </c>
      <c r="F88" s="40">
        <f>ROUND(Tabla51213[[#This Row],[Horas Trabajadas]]*Tabla51213[[#This Row],[Tarifas por horas]],0)</f>
        <v>8000</v>
      </c>
      <c r="G88" s="40"/>
      <c r="H88" s="56">
        <f>Tabla51213[[#This Row],[Salario Básico]]+Tabla51213[[#This Row],[Bonif]]</f>
        <v>8000</v>
      </c>
      <c r="J88" s="52"/>
      <c r="K88" s="40" cm="1">
        <f t="array" ref="K88">MMULT(Tabla51213[[#This Row],[Tarifas por horas]],8)*Tabla51213[[#This Row],[Vacaciones]]</f>
        <v>0</v>
      </c>
      <c r="L88" s="51">
        <f>Tabla51213[[#This Row],[Sal. Dev]]-Tabla51213[[#This Row],[Ausencias]]+Tabla51213[[#This Row],[pago x vacaciones]]</f>
        <v>8000</v>
      </c>
      <c r="M88" s="40">
        <f>5%*Tabla51213[[#This Row],[Salario Neto]]</f>
        <v>400</v>
      </c>
      <c r="N88" s="42">
        <v>187.5</v>
      </c>
      <c r="O88" s="74">
        <f>Tabla51213[[#This Row],[Sal. Dev]]-Tabla51213[[#This Row],[Ausencias]]+Tabla51213[[#This Row],[pago x vacaciones]]-Tabla51213[[#This Row],[importe Seg Social]]-Tabla51213[[#This Row],[importe Ing Pers]]</f>
        <v>7412.5</v>
      </c>
    </row>
    <row r="89" spans="1:15" s="34" customFormat="1" ht="15.9">
      <c r="A89" s="34">
        <v>45</v>
      </c>
      <c r="B89" s="101" t="str">
        <f>VLOOKUP(Tabla51213[[#This Row],[No. Exp]],Tabla6[],2)</f>
        <v>Dayana Zailyn Rosabal Jaramillo</v>
      </c>
      <c r="C89" s="44">
        <f>VLOOKUP(Tabla51213[[#This Row],[No. Exp]],Tabla6[],3)</f>
        <v>91063028173</v>
      </c>
      <c r="D89" s="76">
        <v>192</v>
      </c>
      <c r="E89" s="76">
        <f>VLOOKUP(Tabla51213[[#This Row],[No. Exp]],Tabla6[],5)</f>
        <v>41.665999999999997</v>
      </c>
      <c r="F89" s="43">
        <f>ROUND(Tabla51213[[#This Row],[Horas Trabajadas]]*Tabla51213[[#This Row],[Tarifas por horas]],0)</f>
        <v>8000</v>
      </c>
      <c r="G89" s="43"/>
      <c r="H89" s="102">
        <f>Tabla51213[[#This Row],[Salario Básico]]+Tabla51213[[#This Row],[Bonif]]</f>
        <v>8000</v>
      </c>
      <c r="J89" s="55">
        <v>6.81</v>
      </c>
      <c r="K89" s="76" cm="1">
        <f t="array" ref="K89">MMULT(Tabla51213[[#This Row],[Tarifas por horas]],8)*Tabla51213[[#This Row],[Vacaciones]]</f>
        <v>2269.9636799999998</v>
      </c>
      <c r="L89" s="104">
        <f>Tabla51213[[#This Row],[Sal. Dev]]-Tabla51213[[#This Row],[Ausencias]]+Tabla51213[[#This Row],[pago x vacaciones]]</f>
        <v>10269.963680000001</v>
      </c>
      <c r="M89" s="76">
        <f>5%*Tabla51213[[#This Row],[Salario Neto]]</f>
        <v>513.49818400000004</v>
      </c>
      <c r="N89" s="76">
        <v>187.5</v>
      </c>
      <c r="O89" s="77">
        <f>Tabla51213[[#This Row],[Sal. Dev]]-Tabla51213[[#This Row],[Ausencias]]+Tabla51213[[#This Row],[pago x vacaciones]]-Tabla51213[[#This Row],[importe Seg Social]]-Tabla51213[[#This Row],[importe Ing Pers]]</f>
        <v>9568.9654960000007</v>
      </c>
    </row>
    <row r="90" spans="1:15" ht="15.9">
      <c r="A90" s="36">
        <v>47</v>
      </c>
      <c r="B90" s="79" t="str">
        <f>VLOOKUP(Tabla51213[[#This Row],[No. Exp]],Tabla6[],2)</f>
        <v xml:space="preserve">Sheila González Tuero </v>
      </c>
      <c r="C90" s="33">
        <f>VLOOKUP(Tabla51213[[#This Row],[No. Exp]],Tabla6[],3)</f>
        <v>94111928919</v>
      </c>
      <c r="D90" s="42">
        <v>192</v>
      </c>
      <c r="E90" s="42">
        <f>VLOOKUP(Tabla51213[[#This Row],[No. Exp]],Tabla6[],5)</f>
        <v>41.665999999999997</v>
      </c>
      <c r="F90" s="40">
        <f>ROUND(Tabla51213[[#This Row],[Horas Trabajadas]]*Tabla51213[[#This Row],[Tarifas por horas]],0)</f>
        <v>8000</v>
      </c>
      <c r="G90" s="40"/>
      <c r="H90" s="56">
        <f>Tabla51213[[#This Row],[Salario Básico]]+Tabla51213[[#This Row],[Bonif]]</f>
        <v>8000</v>
      </c>
      <c r="J90" s="52"/>
      <c r="K90" s="40" cm="1">
        <f t="array" ref="K90">MMULT(Tabla51213[[#This Row],[Tarifas por horas]],8)*Tabla51213[[#This Row],[Vacaciones]]</f>
        <v>0</v>
      </c>
      <c r="L90" s="51">
        <f>Tabla51213[[#This Row],[Sal. Dev]]-Tabla51213[[#This Row],[Ausencias]]+Tabla51213[[#This Row],[pago x vacaciones]]</f>
        <v>8000</v>
      </c>
      <c r="M90" s="40">
        <f>5%*Tabla51213[[#This Row],[Salario Neto]]</f>
        <v>400</v>
      </c>
      <c r="N90" s="42">
        <v>187.5</v>
      </c>
      <c r="O90" s="74">
        <f>Tabla51213[[#This Row],[Sal. Dev]]-Tabla51213[[#This Row],[Ausencias]]+Tabla51213[[#This Row],[pago x vacaciones]]-Tabla51213[[#This Row],[importe Seg Social]]-Tabla51213[[#This Row],[importe Ing Pers]]</f>
        <v>7412.5</v>
      </c>
    </row>
    <row r="91" spans="1:15" ht="16.5" customHeight="1">
      <c r="A91" s="36">
        <v>48</v>
      </c>
      <c r="B91" s="79" t="str">
        <f>VLOOKUP(Tabla51213[[#This Row],[No. Exp]],Tabla6[],2)</f>
        <v>Onel Angel Martínez López</v>
      </c>
      <c r="C91" s="33" t="str">
        <f>VLOOKUP(Tabla51213[[#This Row],[No. Exp]],Tabla6[],3)</f>
        <v>99081600501</v>
      </c>
      <c r="D91" s="42">
        <v>192</v>
      </c>
      <c r="E91" s="42">
        <f>VLOOKUP(Tabla51213[[#This Row],[No. Exp]],Tabla6[],5)</f>
        <v>41.665999999999997</v>
      </c>
      <c r="F91" s="40">
        <f>ROUND(Tabla51213[[#This Row],[Horas Trabajadas]]*Tabla51213[[#This Row],[Tarifas por horas]],0)</f>
        <v>8000</v>
      </c>
      <c r="G91" s="40"/>
      <c r="H91" s="56">
        <f>Tabla51213[[#This Row],[Salario Básico]]+Tabla51213[[#This Row],[Bonif]]</f>
        <v>8000</v>
      </c>
      <c r="J91" s="52"/>
      <c r="K91" s="40" cm="1">
        <f t="array" ref="K91">MMULT(Tabla51213[[#This Row],[Tarifas por horas]],8)*Tabla51213[[#This Row],[Vacaciones]]</f>
        <v>0</v>
      </c>
      <c r="L91" s="51">
        <f>Tabla51213[[#This Row],[Sal. Dev]]-Tabla51213[[#This Row],[Ausencias]]+Tabla51213[[#This Row],[pago x vacaciones]]</f>
        <v>8000</v>
      </c>
      <c r="M91" s="40">
        <f>5%*Tabla51213[[#This Row],[Salario Neto]]</f>
        <v>400</v>
      </c>
      <c r="N91" s="42">
        <v>187.5</v>
      </c>
      <c r="O91" s="74">
        <f>Tabla51213[[#This Row],[Sal. Dev]]-Tabla51213[[#This Row],[Ausencias]]+Tabla51213[[#This Row],[pago x vacaciones]]-Tabla51213[[#This Row],[importe Seg Social]]-Tabla51213[[#This Row],[importe Ing Pers]]</f>
        <v>7412.5</v>
      </c>
    </row>
    <row r="92" spans="1:15" ht="15.9">
      <c r="A92" s="36">
        <v>49</v>
      </c>
      <c r="B92" s="79" t="str">
        <f>VLOOKUP(Tabla51213[[#This Row],[No. Exp]],Tabla6[],2)</f>
        <v>Abraham Rodríguez Colina</v>
      </c>
      <c r="C92" s="33" t="str">
        <f>VLOOKUP(Tabla51213[[#This Row],[No. Exp]],Tabla6[],3)</f>
        <v>97051407323</v>
      </c>
      <c r="D92" s="42">
        <v>192</v>
      </c>
      <c r="E92" s="42">
        <f>VLOOKUP(Tabla51213[[#This Row],[No. Exp]],Tabla6[],5)</f>
        <v>41.665999999999997</v>
      </c>
      <c r="F92" s="40">
        <f>ROUND(Tabla51213[[#This Row],[Horas Trabajadas]]*Tabla51213[[#This Row],[Tarifas por horas]],0)</f>
        <v>8000</v>
      </c>
      <c r="G92" s="40"/>
      <c r="H92" s="56">
        <f>Tabla51213[[#This Row],[Salario Básico]]+Tabla51213[[#This Row],[Bonif]]</f>
        <v>8000</v>
      </c>
      <c r="J92" s="52"/>
      <c r="K92" s="40" cm="1">
        <f t="array" ref="K92">MMULT(Tabla51213[[#This Row],[Tarifas por horas]],8)*Tabla51213[[#This Row],[Vacaciones]]</f>
        <v>0</v>
      </c>
      <c r="L92" s="51">
        <f>Tabla51213[[#This Row],[Sal. Dev]]-Tabla51213[[#This Row],[Ausencias]]+Tabla51213[[#This Row],[pago x vacaciones]]</f>
        <v>8000</v>
      </c>
      <c r="M92" s="40">
        <f>5%*Tabla51213[[#This Row],[Salario Neto]]</f>
        <v>400</v>
      </c>
      <c r="N92" s="42">
        <v>187.5</v>
      </c>
      <c r="O92" s="74">
        <f>Tabla51213[[#This Row],[Sal. Dev]]-Tabla51213[[#This Row],[Ausencias]]+Tabla51213[[#This Row],[pago x vacaciones]]-Tabla51213[[#This Row],[importe Seg Social]]-Tabla51213[[#This Row],[importe Ing Pers]]</f>
        <v>7412.5</v>
      </c>
    </row>
    <row r="93" spans="1:15" ht="15.9">
      <c r="A93" s="40">
        <v>93</v>
      </c>
      <c r="B93" s="79" t="str">
        <f>VLOOKUP(Tabla51213[[#This Row],[No. Exp]],Tabla6[],2)</f>
        <v>Zaily Cruz Sánchez</v>
      </c>
      <c r="C93" s="33">
        <f>VLOOKUP(Tabla51213[[#This Row],[No. Exp]],Tabla6[],3)</f>
        <v>97042206435</v>
      </c>
      <c r="D93" s="42">
        <v>192</v>
      </c>
      <c r="E93" s="42">
        <f>VLOOKUP(Tabla51213[[#This Row],[No. Exp]],Tabla6[],5)</f>
        <v>41.665999999999997</v>
      </c>
      <c r="F93" s="40">
        <f>ROUND(Tabla51213[[#This Row],[Horas Trabajadas]]*Tabla51213[[#This Row],[Tarifas por horas]],0)</f>
        <v>8000</v>
      </c>
      <c r="G93" s="40"/>
      <c r="H93" s="56">
        <f>Tabla51213[[#This Row],[Salario Básico]]+Tabla51213[[#This Row],[Bonif]]</f>
        <v>8000</v>
      </c>
      <c r="J93" s="52"/>
      <c r="K93" s="40" cm="1">
        <f t="array" ref="K93">MMULT(Tabla51213[[#This Row],[Tarifas por horas]],8)*Tabla51213[[#This Row],[Vacaciones]]</f>
        <v>0</v>
      </c>
      <c r="L93" s="51">
        <f>Tabla51213[[#This Row],[Sal. Dev]]-Tabla51213[[#This Row],[Ausencias]]+Tabla51213[[#This Row],[pago x vacaciones]]</f>
        <v>8000</v>
      </c>
      <c r="M93" s="40">
        <f>5%*Tabla51213[[#This Row],[Salario Neto]]</f>
        <v>400</v>
      </c>
      <c r="N93" s="42">
        <v>187.5</v>
      </c>
      <c r="O93" s="74">
        <f>Tabla51213[[#This Row],[Sal. Dev]]-Tabla51213[[#This Row],[Ausencias]]+Tabla51213[[#This Row],[pago x vacaciones]]-Tabla51213[[#This Row],[importe Seg Social]]-Tabla51213[[#This Row],[importe Ing Pers]]</f>
        <v>7412.5</v>
      </c>
    </row>
    <row r="94" spans="1:15" ht="15.9">
      <c r="A94" s="45"/>
      <c r="B94" s="40"/>
      <c r="C94" s="33"/>
      <c r="D94" s="42"/>
      <c r="E94" s="42"/>
      <c r="F94" s="40"/>
      <c r="G94" s="40"/>
      <c r="H94" s="56"/>
      <c r="J94" s="52"/>
      <c r="K94" s="40"/>
      <c r="L94" s="51"/>
      <c r="M94" s="40"/>
      <c r="N94" s="42"/>
      <c r="O94" s="74"/>
    </row>
    <row r="95" spans="1:15" ht="15.9">
      <c r="A95" s="45"/>
      <c r="B95" s="40"/>
      <c r="C95" s="33"/>
      <c r="D95" s="42"/>
      <c r="E95" s="42"/>
      <c r="F95" s="40"/>
      <c r="G95" s="40"/>
      <c r="H95" s="56"/>
      <c r="J95" s="52"/>
      <c r="K95" s="40"/>
      <c r="L95" s="51"/>
      <c r="M95" s="40"/>
      <c r="N95" s="42"/>
      <c r="O95" s="74"/>
    </row>
    <row r="96" spans="1:15" ht="15.9">
      <c r="A96" s="45"/>
      <c r="B96" s="40"/>
      <c r="C96" s="33"/>
      <c r="D96" s="42"/>
      <c r="E96" s="42"/>
      <c r="F96" s="40"/>
      <c r="G96" s="40"/>
      <c r="H96" s="56"/>
      <c r="J96" s="52"/>
      <c r="K96" s="40"/>
      <c r="L96" s="51"/>
      <c r="M96" s="40"/>
      <c r="N96" s="42"/>
      <c r="O96" s="74"/>
    </row>
    <row r="97" spans="1:15" ht="15.9">
      <c r="A97" s="45"/>
      <c r="B97" s="40"/>
      <c r="C97" s="33"/>
      <c r="D97" s="42"/>
      <c r="E97" s="42"/>
      <c r="F97" s="40"/>
      <c r="G97" s="40"/>
      <c r="H97" s="56"/>
      <c r="J97" s="52"/>
      <c r="K97" s="40"/>
      <c r="L97" s="51"/>
      <c r="M97" s="40"/>
      <c r="N97" s="42"/>
      <c r="O97" s="74"/>
    </row>
    <row r="98" spans="1:15" ht="30" customHeight="1">
      <c r="A98" s="45"/>
      <c r="B98" s="454"/>
      <c r="C98" s="454"/>
      <c r="D98" s="42"/>
      <c r="E98" s="42"/>
      <c r="F98" s="40"/>
      <c r="G98" s="40"/>
      <c r="H98" s="56"/>
      <c r="J98" s="52"/>
      <c r="K98" s="40"/>
      <c r="L98" s="51"/>
      <c r="M98" s="40"/>
      <c r="N98" s="42"/>
      <c r="O98" s="74"/>
    </row>
    <row r="99" spans="1:15" ht="15.9">
      <c r="A99" s="45"/>
      <c r="B99" s="455" t="s">
        <v>204</v>
      </c>
      <c r="C99" s="456"/>
      <c r="D99" s="42"/>
      <c r="E99" s="42"/>
      <c r="F99" s="40"/>
      <c r="G99" s="40"/>
      <c r="H99" s="56"/>
      <c r="J99" s="52"/>
      <c r="K99" s="40"/>
      <c r="L99" s="51"/>
      <c r="M99" s="40"/>
      <c r="N99" s="42"/>
      <c r="O99" s="74"/>
    </row>
    <row r="100" spans="1:15" ht="15.9">
      <c r="A100" s="45"/>
      <c r="B100" s="40"/>
      <c r="C100" s="33"/>
      <c r="D100" s="42"/>
      <c r="E100" s="42"/>
      <c r="F100" s="40"/>
      <c r="G100" s="40"/>
      <c r="H100" s="56"/>
      <c r="J100" s="52"/>
      <c r="K100" s="40"/>
      <c r="L100" s="51"/>
      <c r="M100" s="40"/>
      <c r="N100" s="42"/>
      <c r="O100" s="74"/>
    </row>
    <row r="101" spans="1:15">
      <c r="A101" s="40"/>
      <c r="B101" s="40"/>
      <c r="C101" s="40"/>
      <c r="D101" s="33"/>
      <c r="E101" s="42"/>
      <c r="F101" s="42"/>
      <c r="G101" s="40"/>
      <c r="H101" s="40"/>
      <c r="I101" s="56"/>
      <c r="L101" s="33"/>
      <c r="M101" s="33"/>
      <c r="N101" s="33"/>
    </row>
    <row r="102" spans="1:15" ht="18.45">
      <c r="A102" s="453" t="s">
        <v>0</v>
      </c>
      <c r="B102" s="453"/>
      <c r="C102" s="37"/>
      <c r="D102" s="37"/>
      <c r="I102" s="33" t="s">
        <v>1</v>
      </c>
      <c r="J102" s="33" t="s">
        <v>2</v>
      </c>
      <c r="K102" s="127">
        <f>K71</f>
        <v>45901</v>
      </c>
      <c r="L102" s="50" t="s">
        <v>3</v>
      </c>
      <c r="M102" s="127">
        <f>M71</f>
        <v>45930</v>
      </c>
      <c r="N102" s="33"/>
    </row>
    <row r="103" spans="1:15">
      <c r="A103" s="449" t="s">
        <v>4</v>
      </c>
      <c r="B103" s="449"/>
      <c r="C103" s="38" t="str">
        <f>C6</f>
        <v>Amanda Marcano Bahler</v>
      </c>
    </row>
    <row r="104" spans="1:15">
      <c r="A104" s="449" t="s">
        <v>5</v>
      </c>
      <c r="B104" s="449"/>
      <c r="C104" s="39"/>
      <c r="L104" s="36" t="str">
        <f>L7</f>
        <v>Horas:</v>
      </c>
      <c r="M104" s="38">
        <f>M7</f>
        <v>192</v>
      </c>
    </row>
    <row r="106" spans="1:15" ht="18.45">
      <c r="A106" s="452" t="s">
        <v>7</v>
      </c>
      <c r="B106" s="452"/>
      <c r="C106" s="28" t="s">
        <v>20</v>
      </c>
      <c r="L106" s="449" t="s">
        <v>9</v>
      </c>
      <c r="M106" s="449"/>
    </row>
    <row r="107" spans="1:15" s="24" customFormat="1" ht="29.15">
      <c r="A107" s="87" t="s">
        <v>10</v>
      </c>
      <c r="B107" s="87" t="s">
        <v>11</v>
      </c>
      <c r="C107" s="87" t="s">
        <v>12</v>
      </c>
      <c r="D107" s="90" t="s">
        <v>198</v>
      </c>
      <c r="E107" s="88" t="s">
        <v>199</v>
      </c>
      <c r="F107" s="87" t="s">
        <v>13</v>
      </c>
      <c r="G107" s="87" t="s">
        <v>14</v>
      </c>
      <c r="H107" s="89" t="s">
        <v>15</v>
      </c>
      <c r="I107" s="88" t="s">
        <v>197</v>
      </c>
      <c r="J107" s="89" t="s">
        <v>9</v>
      </c>
      <c r="K107" s="89" t="s">
        <v>16</v>
      </c>
      <c r="L107" s="90" t="s">
        <v>196</v>
      </c>
      <c r="M107" s="88" t="s">
        <v>194</v>
      </c>
      <c r="N107" s="87" t="s">
        <v>195</v>
      </c>
      <c r="O107" s="91" t="s">
        <v>191</v>
      </c>
    </row>
    <row r="108" spans="1:15" ht="15.9">
      <c r="A108" s="40">
        <v>51</v>
      </c>
      <c r="B108" s="79" t="str">
        <f>VLOOKUP(Tabla5121314[[#This Row],[No. Exp]],Tabla6[],2)</f>
        <v xml:space="preserve">Ana Gloria Delgado Rodriguez </v>
      </c>
      <c r="C108" s="40" t="str">
        <f>VLOOKUP(Tabla5121314[[#This Row],[No. Exp]],Tabla6[],3)</f>
        <v>99082510652</v>
      </c>
      <c r="D108" s="42">
        <v>192</v>
      </c>
      <c r="E108" s="42">
        <f>VLOOKUP(Tabla5121314[[#This Row],[No. Exp]],Tabla6[],5)</f>
        <v>41.665999999999997</v>
      </c>
      <c r="F108" s="40">
        <f>ROUND(Tabla5121314[[#This Row],[Horas Trabajadas]]*Tabla5121314[[#This Row],[Tarifas x horas]],0)</f>
        <v>8000</v>
      </c>
      <c r="G108" s="40"/>
      <c r="H108" s="97">
        <f>Tabla5121314[[#This Row],[A Cobrar]]+Tabla5121314[[#This Row],[Bonif]]</f>
        <v>8000</v>
      </c>
      <c r="I108" s="40"/>
      <c r="J108" s="58"/>
      <c r="K108" s="36" cm="1">
        <f t="array" ref="K108">MMULT(Tabla5121314[[#This Row],[Tarifas x horas]],8)*Tabla5121314[[#This Row],[Vacaciones]]</f>
        <v>0</v>
      </c>
      <c r="L108" s="51">
        <f>Tabla5121314[[#This Row],[Sal. Dev]]-Tabla5121314[[#This Row],[Ausencias]]+Tabla5121314[[#This Row],[pago x vacaciones]]</f>
        <v>8000</v>
      </c>
      <c r="M108" s="40">
        <f>5%*Tabla5121314[[#This Row],[Salario Neto]]</f>
        <v>400</v>
      </c>
      <c r="N108" s="42">
        <v>187.5</v>
      </c>
      <c r="O108" s="74">
        <f>Tabla5121314[[#This Row],[Sal. Dev]]-Tabla5121314[[#This Row],[Ausencias]]+Tabla5121314[[#This Row],[pago x vacaciones]]-Tabla5121314[[#This Row],[importe Seg Social]]-Tabla5121314[[#This Row],[importe Ing Pers]]</f>
        <v>7412.5</v>
      </c>
    </row>
    <row r="109" spans="1:15" s="34" customFormat="1" ht="15.9">
      <c r="A109" s="1">
        <v>52</v>
      </c>
      <c r="B109" s="112" t="str">
        <f>VLOOKUP(Tabla5121314[[#This Row],[No. Exp]],Tabla6[],2)</f>
        <v>Dismar Alejandro Labañino Tressord</v>
      </c>
      <c r="C109" s="44" t="str">
        <f>VLOOKUP(Tabla5121314[[#This Row],[No. Exp]],Tabla6[],3)</f>
        <v>00041979941</v>
      </c>
      <c r="D109" s="60">
        <v>192</v>
      </c>
      <c r="E109" s="60">
        <f>VLOOKUP(Tabla5121314[[#This Row],[No. Exp]],Tabla6[],5)</f>
        <v>41.665999999999997</v>
      </c>
      <c r="F109" s="43">
        <f>ROUND(Tabla5121314[[#This Row],[Horas Trabajadas]]*Tabla5121314[[#This Row],[Tarifas x horas]],0)</f>
        <v>8000</v>
      </c>
      <c r="G109" s="43"/>
      <c r="H109" s="98">
        <f>Tabla5121314[[#This Row],[A Cobrar]]+Tabla5121314[[#This Row],[Bonif]]</f>
        <v>8000</v>
      </c>
      <c r="I109" s="54"/>
      <c r="J109" s="55">
        <v>10.9</v>
      </c>
      <c r="K109" s="106" cm="1">
        <f t="array" ref="K109">MMULT(Tabla5121314[[#This Row],[Tarifas x horas]],8)*Tabla5121314[[#This Row],[Vacaciones]]</f>
        <v>3633.2752</v>
      </c>
      <c r="L109" s="104">
        <f>Tabla5121314[[#This Row],[Sal. Dev]]-Tabla5121314[[#This Row],[Ausencias]]+Tabla5121314[[#This Row],[pago x vacaciones]]</f>
        <v>11633.2752</v>
      </c>
      <c r="M109" s="76">
        <f>5%*Tabla5121314[[#This Row],[Salario Neto]]</f>
        <v>581.66376000000002</v>
      </c>
      <c r="N109" s="76">
        <v>187.5</v>
      </c>
      <c r="O109" s="77">
        <f>Tabla5121314[[#This Row],[Sal. Dev]]-Tabla5121314[[#This Row],[Ausencias]]+Tabla5121314[[#This Row],[pago x vacaciones]]-Tabla5121314[[#This Row],[importe Seg Social]]-Tabla5121314[[#This Row],[importe Ing Pers]]</f>
        <v>10864.111440000001</v>
      </c>
    </row>
    <row r="110" spans="1:15" ht="15.9">
      <c r="A110">
        <v>53</v>
      </c>
      <c r="B110" s="79" t="str">
        <f>VLOOKUP(Tabla5121314[[#This Row],[No. Exp]],Tabla6[],2)</f>
        <v>Rowder Fernández Matos</v>
      </c>
      <c r="C110" s="33">
        <f>VLOOKUP(Tabla5121314[[#This Row],[No. Exp]],Tabla6[],3)</f>
        <v>92102527724</v>
      </c>
      <c r="D110" s="42">
        <v>192</v>
      </c>
      <c r="E110" s="42">
        <f>VLOOKUP(Tabla5121314[[#This Row],[No. Exp]],Tabla6[],5)</f>
        <v>41.665999999999997</v>
      </c>
      <c r="F110" s="40">
        <f>ROUND(Tabla5121314[[#This Row],[Horas Trabajadas]]*Tabla5121314[[#This Row],[Tarifas x horas]],0)</f>
        <v>8000</v>
      </c>
      <c r="G110" s="40"/>
      <c r="H110" s="95">
        <f>Tabla5121314[[#This Row],[A Cobrar]]+Tabla5121314[[#This Row],[Bonif]]</f>
        <v>8000</v>
      </c>
      <c r="I110" s="51"/>
      <c r="J110" s="58"/>
      <c r="K110" s="36" cm="1">
        <f t="array" ref="K110">MMULT(Tabla5121314[[#This Row],[Tarifas x horas]],8)*Tabla5121314[[#This Row],[Vacaciones]]</f>
        <v>0</v>
      </c>
      <c r="L110" s="51">
        <f>Tabla5121314[[#This Row],[Sal. Dev]]-Tabla5121314[[#This Row],[Ausencias]]+Tabla5121314[[#This Row],[pago x vacaciones]]</f>
        <v>8000</v>
      </c>
      <c r="M110" s="40">
        <f>5%*Tabla5121314[[#This Row],[Salario Neto]]</f>
        <v>400</v>
      </c>
      <c r="N110" s="42">
        <v>187.5</v>
      </c>
      <c r="O110" s="74">
        <f>Tabla5121314[[#This Row],[Sal. Dev]]-Tabla5121314[[#This Row],[Ausencias]]+Tabla5121314[[#This Row],[pago x vacaciones]]-Tabla5121314[[#This Row],[importe Seg Social]]-Tabla5121314[[#This Row],[importe Ing Pers]]</f>
        <v>7412.5</v>
      </c>
    </row>
    <row r="111" spans="1:15" ht="15.9">
      <c r="A111">
        <v>54</v>
      </c>
      <c r="B111" s="79" t="str">
        <f>VLOOKUP(Tabla5121314[[#This Row],[No. Exp]],Tabla6[],2)</f>
        <v>Dael David Rodríguez Noa</v>
      </c>
      <c r="C111" s="33" t="str">
        <f>VLOOKUP(Tabla5121314[[#This Row],[No. Exp]],Tabla6[],3)</f>
        <v>98022106389</v>
      </c>
      <c r="D111" s="42">
        <v>192</v>
      </c>
      <c r="E111" s="42">
        <f>VLOOKUP(Tabla5121314[[#This Row],[No. Exp]],Tabla6[],5)</f>
        <v>41.665999999999997</v>
      </c>
      <c r="F111" s="40">
        <f>ROUND(Tabla5121314[[#This Row],[Horas Trabajadas]]*Tabla5121314[[#This Row],[Tarifas x horas]],0)</f>
        <v>8000</v>
      </c>
      <c r="G111" s="40"/>
      <c r="H111" s="95">
        <f>Tabla5121314[[#This Row],[A Cobrar]]+Tabla5121314[[#This Row],[Bonif]]</f>
        <v>8000</v>
      </c>
      <c r="J111" s="52"/>
      <c r="K111" s="36" cm="1">
        <f t="array" ref="K111">MMULT(Tabla5121314[[#This Row],[Tarifas x horas]],8)*Tabla5121314[[#This Row],[Vacaciones]]</f>
        <v>0</v>
      </c>
      <c r="L111" s="51">
        <f>Tabla5121314[[#This Row],[Sal. Dev]]-Tabla5121314[[#This Row],[Ausencias]]+Tabla5121314[[#This Row],[pago x vacaciones]]</f>
        <v>8000</v>
      </c>
      <c r="M111" s="40">
        <f>5%*Tabla5121314[[#This Row],[Salario Neto]]</f>
        <v>400</v>
      </c>
      <c r="N111" s="42">
        <v>187.5</v>
      </c>
      <c r="O111" s="74">
        <f>Tabla5121314[[#This Row],[Sal. Dev]]-Tabla5121314[[#This Row],[Ausencias]]+Tabla5121314[[#This Row],[pago x vacaciones]]-Tabla5121314[[#This Row],[importe Seg Social]]-Tabla5121314[[#This Row],[importe Ing Pers]]</f>
        <v>7412.5</v>
      </c>
    </row>
    <row r="112" spans="1:15" ht="15.9">
      <c r="A112">
        <v>55</v>
      </c>
      <c r="B112" s="79" t="str">
        <f>VLOOKUP(Tabla5121314[[#This Row],[No. Exp]],Tabla6[],2)</f>
        <v>Michel Abreu Pardo</v>
      </c>
      <c r="C112" s="33" t="str">
        <f>VLOOKUP(Tabla5121314[[#This Row],[No. Exp]],Tabla6[],3)</f>
        <v>87051210029</v>
      </c>
      <c r="D112" s="42">
        <v>192</v>
      </c>
      <c r="E112" s="42">
        <f>VLOOKUP(Tabla5121314[[#This Row],[No. Exp]],Tabla6[],5)</f>
        <v>41.665999999999997</v>
      </c>
      <c r="F112" s="40">
        <f>ROUND(Tabla5121314[[#This Row],[Horas Trabajadas]]*Tabla5121314[[#This Row],[Tarifas x horas]],0)</f>
        <v>8000</v>
      </c>
      <c r="G112" s="40"/>
      <c r="H112" s="95">
        <f>Tabla5121314[[#This Row],[A Cobrar]]+Tabla5121314[[#This Row],[Bonif]]</f>
        <v>8000</v>
      </c>
      <c r="J112" s="58"/>
      <c r="K112" s="36" cm="1">
        <f t="array" ref="K112">MMULT(Tabla5121314[[#This Row],[Tarifas x horas]],8)*Tabla5121314[[#This Row],[Vacaciones]]</f>
        <v>0</v>
      </c>
      <c r="L112" s="51">
        <f>Tabla5121314[[#This Row],[Sal. Dev]]-Tabla5121314[[#This Row],[Ausencias]]+Tabla5121314[[#This Row],[pago x vacaciones]]</f>
        <v>8000</v>
      </c>
      <c r="M112" s="40">
        <f>5%*Tabla5121314[[#This Row],[Salario Neto]]</f>
        <v>400</v>
      </c>
      <c r="N112" s="42">
        <v>187.5</v>
      </c>
      <c r="O112" s="74">
        <f>Tabla5121314[[#This Row],[Sal. Dev]]-Tabla5121314[[#This Row],[Ausencias]]+Tabla5121314[[#This Row],[pago x vacaciones]]-Tabla5121314[[#This Row],[importe Seg Social]]-Tabla5121314[[#This Row],[importe Ing Pers]]</f>
        <v>7412.5</v>
      </c>
    </row>
    <row r="113" spans="1:15" ht="15.9">
      <c r="A113" s="45">
        <v>92</v>
      </c>
      <c r="B113" s="79" t="str">
        <f>VLOOKUP(Tabla5121314[[#This Row],[No. Exp]],Tabla6[],2)</f>
        <v>Iván Llanes Oliveros</v>
      </c>
      <c r="C113" s="33">
        <f>VLOOKUP(Tabla5121314[[#This Row],[No. Exp]],Tabla6[],3)</f>
        <v>90013026740</v>
      </c>
      <c r="D113" s="42">
        <v>192</v>
      </c>
      <c r="E113" s="42">
        <f>VLOOKUP(Tabla5121314[[#This Row],[No. Exp]],Tabla6[],5)</f>
        <v>41.665999999999997</v>
      </c>
      <c r="F113" s="40">
        <f>ROUND(Tabla5121314[[#This Row],[Horas Trabajadas]]*Tabla5121314[[#This Row],[Tarifas x horas]],0)</f>
        <v>8000</v>
      </c>
      <c r="G113" s="40"/>
      <c r="H113" s="97">
        <f>Tabla5121314[[#This Row],[A Cobrar]]+Tabla5121314[[#This Row],[Bonif]]</f>
        <v>8000</v>
      </c>
      <c r="J113" s="52"/>
      <c r="K113" s="36" cm="1">
        <f t="array" ref="K113">MMULT(Tabla5121314[[#This Row],[Tarifas x horas]],8)*Tabla5121314[[#This Row],[Vacaciones]]</f>
        <v>0</v>
      </c>
      <c r="L113" s="51">
        <f>Tabla5121314[[#This Row],[Sal. Dev]]-Tabla5121314[[#This Row],[Ausencias]]+Tabla5121314[[#This Row],[pago x vacaciones]]</f>
        <v>8000</v>
      </c>
      <c r="M113" s="40">
        <f>5%*Tabla5121314[[#This Row],[Salario Neto]]</f>
        <v>400</v>
      </c>
      <c r="N113" s="42">
        <v>187.5</v>
      </c>
      <c r="O113" s="74">
        <f>Tabla5121314[[#This Row],[Sal. Dev]]-Tabla5121314[[#This Row],[Ausencias]]+Tabla5121314[[#This Row],[pago x vacaciones]]-Tabla5121314[[#This Row],[importe Seg Social]]-Tabla5121314[[#This Row],[importe Ing Pers]]</f>
        <v>7412.5</v>
      </c>
    </row>
    <row r="114" spans="1:15" s="35" customFormat="1" ht="15.9">
      <c r="A114" s="47">
        <v>106</v>
      </c>
      <c r="B114" s="80" t="str">
        <f>VLOOKUP(Tabla5121314[[#This Row],[No. Exp]],Tabla6[],2)</f>
        <v>Sujay Karina Prado Montero</v>
      </c>
      <c r="C114" s="48" t="str">
        <f>VLOOKUP(Tabla5121314[[#This Row],[No. Exp]],Tabla6[],3)</f>
        <v>01112276730</v>
      </c>
      <c r="D114" s="49">
        <v>176</v>
      </c>
      <c r="E114" s="49">
        <f>VLOOKUP(Tabla5121314[[#This Row],[No. Exp]],Tabla6[],5)</f>
        <v>41.665999999999997</v>
      </c>
      <c r="F114" s="46">
        <f>ROUND(Tabla5121314[[#This Row],[Horas Trabajadas]]*Tabla5121314[[#This Row],[Tarifas x horas]],0)</f>
        <v>7333</v>
      </c>
      <c r="G114" s="46"/>
      <c r="H114" s="99">
        <f>Tabla5121314[[#This Row],[A Cobrar]]+Tabla5121314[[#This Row],[Bonif]]</f>
        <v>7333</v>
      </c>
      <c r="J114" s="59"/>
      <c r="K114" s="35" cm="1">
        <f t="array" ref="K114">MMULT(Tabla5121314[[#This Row],[Tarifas x horas]],8)*Tabla5121314[[#This Row],[Vacaciones]]</f>
        <v>0</v>
      </c>
      <c r="L114" s="73">
        <f>Tabla5121314[[#This Row],[Sal. Dev]]-Tabla5121314[[#This Row],[Ausencias]]+Tabla5121314[[#This Row],[pago x vacaciones]]</f>
        <v>7333</v>
      </c>
      <c r="M114" s="46">
        <f>5%*Tabla5121314[[#This Row],[Salario Neto]]</f>
        <v>366.65000000000003</v>
      </c>
      <c r="N114" s="49">
        <v>187.5</v>
      </c>
      <c r="O114" s="75">
        <f>Tabla5121314[[#This Row],[Sal. Dev]]-Tabla5121314[[#This Row],[Ausencias]]+Tabla5121314[[#This Row],[pago x vacaciones]]-Tabla5121314[[#This Row],[importe Seg Social]]-Tabla5121314[[#This Row],[importe Ing Pers]]</f>
        <v>6778.85</v>
      </c>
    </row>
    <row r="115" spans="1:15" ht="15.9">
      <c r="A115" s="40">
        <v>102</v>
      </c>
      <c r="B115" s="79" t="str">
        <f>VLOOKUP(Tabla5121314[[#This Row],[No. Exp]],Tabla6[],2)</f>
        <v>Adrian Daniel Fernández Landivar</v>
      </c>
      <c r="C115" s="33">
        <f>VLOOKUP(Tabla5121314[[#This Row],[No. Exp]],Tabla6[],3)</f>
        <v>99020618509</v>
      </c>
      <c r="D115" s="42">
        <v>192</v>
      </c>
      <c r="E115" s="42">
        <f>VLOOKUP(Tabla5121314[[#This Row],[No. Exp]],Tabla6[],5)</f>
        <v>41.665999999999997</v>
      </c>
      <c r="F115" s="40">
        <f>ROUND(Tabla5121314[[#This Row],[Horas Trabajadas]]*Tabla5121314[[#This Row],[Tarifas x horas]],0)</f>
        <v>8000</v>
      </c>
      <c r="G115" s="40"/>
      <c r="H115" s="97">
        <f>Tabla5121314[[#This Row],[A Cobrar]]+Tabla5121314[[#This Row],[Bonif]]</f>
        <v>8000</v>
      </c>
      <c r="K115" s="36" cm="1">
        <f t="array" ref="K115">MMULT(Tabla5121314[[#This Row],[Tarifas x horas]],8)*Tabla5121314[[#This Row],[Vacaciones]]</f>
        <v>0</v>
      </c>
      <c r="L115" s="53">
        <f>Tabla5121314[[#This Row],[Sal. Dev]]-Tabla5121314[[#This Row],[Ausencias]]+Tabla5121314[[#This Row],[pago x vacaciones]]</f>
        <v>8000</v>
      </c>
      <c r="M115" s="40">
        <f>5%*Tabla5121314[[#This Row],[Salario Neto]]</f>
        <v>400</v>
      </c>
      <c r="N115" s="42">
        <v>187.5</v>
      </c>
      <c r="O115" s="74">
        <f>Tabla5121314[[#This Row],[Sal. Dev]]-Tabla5121314[[#This Row],[Ausencias]]+Tabla5121314[[#This Row],[pago x vacaciones]]-Tabla5121314[[#This Row],[importe Seg Social]]-Tabla5121314[[#This Row],[importe Ing Pers]]</f>
        <v>7412.5</v>
      </c>
    </row>
    <row r="116" spans="1:15" ht="15.9">
      <c r="A116" s="40">
        <v>103</v>
      </c>
      <c r="B116" s="79" t="str">
        <f>VLOOKUP(Tabla5121314[[#This Row],[No. Exp]],Tabla6[],2)</f>
        <v>Luis Ramón Díaz Alvarez</v>
      </c>
      <c r="C116" s="33" t="str">
        <f>VLOOKUP(Tabla5121314[[#This Row],[No. Exp]],Tabla6[],3)</f>
        <v>01032963607</v>
      </c>
      <c r="D116" s="42">
        <v>192</v>
      </c>
      <c r="E116" s="42">
        <f>VLOOKUP(Tabla5121314[[#This Row],[No. Exp]],Tabla6[],5)</f>
        <v>41.665999999999997</v>
      </c>
      <c r="F116" s="40">
        <f>ROUND(Tabla5121314[[#This Row],[Horas Trabajadas]]*Tabla5121314[[#This Row],[Tarifas x horas]],0)</f>
        <v>8000</v>
      </c>
      <c r="G116" s="40"/>
      <c r="H116" s="97">
        <f>Tabla5121314[[#This Row],[A Cobrar]]+Tabla5121314[[#This Row],[Bonif]]</f>
        <v>8000</v>
      </c>
      <c r="K116" s="36" cm="1">
        <f t="array" ref="K116">MMULT(Tabla5121314[[#This Row],[Tarifas x horas]],8)*Tabla5121314[[#This Row],[Vacaciones]]</f>
        <v>0</v>
      </c>
      <c r="L116" s="53">
        <f>Tabla5121314[[#This Row],[Sal. Dev]]-Tabla5121314[[#This Row],[Ausencias]]+Tabla5121314[[#This Row],[pago x vacaciones]]</f>
        <v>8000</v>
      </c>
      <c r="M116" s="40">
        <f>5%*Tabla5121314[[#This Row],[Salario Neto]]</f>
        <v>400</v>
      </c>
      <c r="N116" s="42">
        <v>187.5</v>
      </c>
      <c r="O116" s="74">
        <f>Tabla5121314[[#This Row],[Sal. Dev]]-Tabla5121314[[#This Row],[Ausencias]]+Tabla5121314[[#This Row],[pago x vacaciones]]-Tabla5121314[[#This Row],[importe Seg Social]]-Tabla5121314[[#This Row],[importe Ing Pers]]</f>
        <v>7412.5</v>
      </c>
    </row>
    <row r="117" spans="1:15">
      <c r="N117"/>
      <c r="O117"/>
    </row>
    <row r="118" spans="1:15">
      <c r="N118"/>
      <c r="O118"/>
    </row>
    <row r="119" spans="1:15">
      <c r="N119"/>
      <c r="O119"/>
    </row>
    <row r="120" spans="1:15">
      <c r="N120"/>
      <c r="O120"/>
    </row>
    <row r="121" spans="1:15">
      <c r="N121"/>
      <c r="O121"/>
    </row>
    <row r="122" spans="1:15">
      <c r="B122" s="451" t="s">
        <v>208</v>
      </c>
      <c r="C122" s="451"/>
      <c r="N122"/>
      <c r="O122"/>
    </row>
    <row r="123" spans="1:15">
      <c r="N123"/>
      <c r="O123"/>
    </row>
    <row r="124" spans="1:15">
      <c r="N124"/>
      <c r="O124"/>
    </row>
    <row r="125" spans="1:15">
      <c r="N125"/>
      <c r="O125"/>
    </row>
    <row r="126" spans="1:15">
      <c r="N126"/>
      <c r="O126"/>
    </row>
    <row r="127" spans="1:15" ht="18.45">
      <c r="A127" s="453" t="s">
        <v>0</v>
      </c>
      <c r="B127" s="453"/>
      <c r="C127" s="37"/>
      <c r="D127" s="37"/>
      <c r="I127" s="33" t="s">
        <v>1</v>
      </c>
      <c r="J127" s="33" t="s">
        <v>2</v>
      </c>
      <c r="K127" s="127">
        <f>K102</f>
        <v>45901</v>
      </c>
      <c r="L127" s="50" t="s">
        <v>3</v>
      </c>
      <c r="M127" s="127">
        <f>M102</f>
        <v>45930</v>
      </c>
      <c r="N127"/>
      <c r="O127"/>
    </row>
    <row r="128" spans="1:15">
      <c r="A128" s="449" t="s">
        <v>4</v>
      </c>
      <c r="B128" s="449"/>
      <c r="C128" s="126" t="s">
        <v>223</v>
      </c>
      <c r="N128"/>
      <c r="O128"/>
    </row>
    <row r="129" spans="1:33">
      <c r="B129" s="36" t="s">
        <v>205</v>
      </c>
      <c r="C129" s="84" t="s">
        <v>206</v>
      </c>
      <c r="N129"/>
      <c r="O129"/>
    </row>
    <row r="130" spans="1:33" ht="18.45">
      <c r="A130" s="452" t="s">
        <v>7</v>
      </c>
      <c r="B130" s="452"/>
      <c r="C130" s="28" t="s">
        <v>21</v>
      </c>
      <c r="L130" s="449" t="s">
        <v>9</v>
      </c>
      <c r="M130" s="449"/>
    </row>
    <row r="131" spans="1:33" s="24" customFormat="1" ht="29.15">
      <c r="A131" s="87" t="s">
        <v>10</v>
      </c>
      <c r="B131" s="87" t="s">
        <v>11</v>
      </c>
      <c r="C131" s="87" t="s">
        <v>12</v>
      </c>
      <c r="D131" s="88" t="s">
        <v>201</v>
      </c>
      <c r="E131" s="88" t="s">
        <v>199</v>
      </c>
      <c r="F131" s="87" t="s">
        <v>13</v>
      </c>
      <c r="G131" s="87" t="s">
        <v>14</v>
      </c>
      <c r="H131" s="89" t="s">
        <v>15</v>
      </c>
      <c r="I131" s="90" t="s">
        <v>197</v>
      </c>
      <c r="J131" s="87" t="s">
        <v>9</v>
      </c>
      <c r="K131" s="87" t="s">
        <v>16</v>
      </c>
      <c r="L131" s="88" t="s">
        <v>196</v>
      </c>
      <c r="M131" s="88" t="s">
        <v>194</v>
      </c>
      <c r="N131" s="87" t="s">
        <v>195</v>
      </c>
      <c r="O131" s="114" t="s">
        <v>191</v>
      </c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</row>
    <row r="132" spans="1:33" ht="15.9">
      <c r="A132" s="45">
        <v>56</v>
      </c>
      <c r="B132" s="79" t="str">
        <f>VLOOKUP(Tabla5121314_3[[#This Row],[No. Exp]],Tabla6[],2)</f>
        <v>María Ofelia Morgado Rodríguez</v>
      </c>
      <c r="C132" s="40">
        <f>VLOOKUP(Tabla5121314_3[[#This Row],[No. Exp]],Tabla6[],3)</f>
        <v>85090214737</v>
      </c>
      <c r="D132" s="42">
        <v>192</v>
      </c>
      <c r="E132" s="42">
        <f>VLOOKUP(Tabla5121314_3[[#This Row],[No. Exp]],Tabla6[],5)</f>
        <v>44.27</v>
      </c>
      <c r="F132" s="40">
        <f>ROUND(Tabla5121314_3[[#This Row],[Horas trabajadas]]*Tabla5121314_3[[#This Row],[Tarifas x horas]],0)</f>
        <v>8500</v>
      </c>
      <c r="G132" s="40"/>
      <c r="H132" s="95">
        <f>Tabla5121314_3[[#This Row],[A Cobrar]]+Tabla5121314_3[[#This Row],[Bonif]]</f>
        <v>8500</v>
      </c>
      <c r="I132" s="40"/>
      <c r="J132" s="52"/>
      <c r="K132" s="40" cm="1">
        <f t="array" ref="K132">MMULT(Tabla5121314_3[[#This Row],[Tarifas x horas]],8)*Tabla5121314_3[[#This Row],[Vacaciones]]</f>
        <v>0</v>
      </c>
      <c r="L132" s="40">
        <f>Tabla5121314_3[[#This Row],[Sal. Dev]]-Tabla5121314_3[[#This Row],[Ausencias]]+Tabla5121314_3[[#This Row],[pago x vacaciones]]</f>
        <v>8500</v>
      </c>
      <c r="M132" s="40">
        <f>5%*Tabla5121314_3[[#This Row],[Salario Neto]]</f>
        <v>425</v>
      </c>
      <c r="N132" s="42">
        <v>187.5</v>
      </c>
      <c r="O132" s="74">
        <f>Tabla5121314_3[[#This Row],[Sal. Dev]]-Tabla5121314_3[[#This Row],[Ausencias]]+Tabla5121314_3[[#This Row],[pago x vacaciones]]-Tabla5121314_3[[#This Row],[importe Seg Social]]-Tabla5121314_3[[#This Row],[importe Ing Pers]]</f>
        <v>7887.5</v>
      </c>
    </row>
    <row r="133" spans="1:33" ht="15.9">
      <c r="A133" s="45">
        <v>57</v>
      </c>
      <c r="B133" s="79" t="str">
        <f>VLOOKUP(Tabla5121314_3[[#This Row],[No. Exp]],Tabla6[],2)</f>
        <v>Pedro Luis Cruz Luna</v>
      </c>
      <c r="C133" s="40">
        <f>VLOOKUP(Tabla5121314_3[[#This Row],[No. Exp]],Tabla6[],3)</f>
        <v>67032021083</v>
      </c>
      <c r="D133" s="42">
        <v>192</v>
      </c>
      <c r="E133" s="42">
        <f>VLOOKUP(Tabla5121314_3[[#This Row],[No. Exp]],Tabla6[],5)</f>
        <v>41.665999999999997</v>
      </c>
      <c r="F133" s="40">
        <f>ROUND(Tabla5121314_3[[#This Row],[Horas trabajadas]]*Tabla5121314_3[[#This Row],[Tarifas x horas]],0)</f>
        <v>8000</v>
      </c>
      <c r="G133" s="40"/>
      <c r="H133" s="95">
        <f>Tabla5121314_3[[#This Row],[A Cobrar]]+Tabla5121314_3[[#This Row],[Bonif]]</f>
        <v>8000</v>
      </c>
      <c r="I133" s="40"/>
      <c r="J133" s="52"/>
      <c r="K133" s="40" cm="1">
        <f t="array" ref="K133">MMULT(Tabla5121314_3[[#This Row],[Tarifas x horas]],8)*Tabla5121314_3[[#This Row],[Vacaciones]]</f>
        <v>0</v>
      </c>
      <c r="L133" s="40">
        <f>Tabla5121314_3[[#This Row],[Sal. Dev]]-Tabla5121314_3[[#This Row],[Ausencias]]+Tabla5121314_3[[#This Row],[pago x vacaciones]]</f>
        <v>8000</v>
      </c>
      <c r="M133" s="40">
        <f>5%*Tabla5121314_3[[#This Row],[Salario Neto]]</f>
        <v>400</v>
      </c>
      <c r="N133" s="42">
        <v>187.5</v>
      </c>
      <c r="O133" s="74">
        <f>Tabla5121314_3[[#This Row],[Sal. Dev]]-Tabla5121314_3[[#This Row],[Ausencias]]+Tabla5121314_3[[#This Row],[pago x vacaciones]]-Tabla5121314_3[[#This Row],[importe Seg Social]]-Tabla5121314_3[[#This Row],[importe Ing Pers]]</f>
        <v>7412.5</v>
      </c>
    </row>
    <row r="134" spans="1:33" ht="15.9">
      <c r="A134">
        <v>58</v>
      </c>
      <c r="B134" s="78" t="str">
        <f>VLOOKUP(Tabla5121314_3[[#This Row],[No. Exp]],Tabla6[],2)</f>
        <v>Amanda Valdés Cabrera</v>
      </c>
      <c r="C134" s="33" t="str">
        <f>VLOOKUP(Tabla5121314_3[[#This Row],[No. Exp]],Tabla6[],3)</f>
        <v>04121272936</v>
      </c>
      <c r="D134" s="42">
        <v>192</v>
      </c>
      <c r="E134" s="41">
        <f>VLOOKUP(Tabla5121314_3[[#This Row],[No. Exp]],Tabla6[],5)</f>
        <v>41.665999999999997</v>
      </c>
      <c r="F134" s="40">
        <f>ROUND(Tabla5121314_3[[#This Row],[Horas trabajadas]]*Tabla5121314_3[[#This Row],[Tarifas x horas]],0)</f>
        <v>8000</v>
      </c>
      <c r="G134" s="40"/>
      <c r="H134" s="95">
        <f>Tabla5121314_3[[#This Row],[A Cobrar]]+Tabla5121314_3[[#This Row],[Bonif]]</f>
        <v>8000</v>
      </c>
      <c r="I134" s="51"/>
      <c r="J134" s="52"/>
      <c r="K134" s="40" cm="1">
        <f t="array" ref="K134">MMULT(Tabla5121314_3[[#This Row],[Tarifas x horas]],8)*Tabla5121314_3[[#This Row],[Vacaciones]]</f>
        <v>0</v>
      </c>
      <c r="L134" s="40">
        <f>Tabla5121314_3[[#This Row],[Sal. Dev]]-Tabla5121314_3[[#This Row],[Ausencias]]+Tabla5121314_3[[#This Row],[pago x vacaciones]]</f>
        <v>8000</v>
      </c>
      <c r="M134" s="40">
        <f>5%*Tabla5121314_3[[#This Row],[Salario Neto]]</f>
        <v>400</v>
      </c>
      <c r="N134" s="42">
        <v>187.5</v>
      </c>
      <c r="O134" s="74">
        <f>Tabla5121314_3[[#This Row],[Sal. Dev]]-Tabla5121314_3[[#This Row],[Ausencias]]+Tabla5121314_3[[#This Row],[pago x vacaciones]]-Tabla5121314_3[[#This Row],[importe Seg Social]]-Tabla5121314_3[[#This Row],[importe Ing Pers]]</f>
        <v>7412.5</v>
      </c>
    </row>
    <row r="135" spans="1:33" ht="15.9">
      <c r="A135">
        <v>59</v>
      </c>
      <c r="B135" s="79" t="str">
        <f>VLOOKUP(Tabla5121314_3[[#This Row],[No. Exp]],Tabla6[],2)</f>
        <v>Beatriz González Santana</v>
      </c>
      <c r="C135" s="33" t="str">
        <f>VLOOKUP(Tabla5121314_3[[#This Row],[No. Exp]],Tabla6[],3)</f>
        <v>96022414792</v>
      </c>
      <c r="D135" s="42">
        <v>192</v>
      </c>
      <c r="E135" s="42">
        <f>VLOOKUP(Tabla5121314_3[[#This Row],[No. Exp]],Tabla6[],5)</f>
        <v>41.665999999999997</v>
      </c>
      <c r="F135" s="40">
        <f>ROUND(Tabla5121314_3[[#This Row],[Horas trabajadas]]*Tabla5121314_3[[#This Row],[Tarifas x horas]],0)</f>
        <v>8000</v>
      </c>
      <c r="G135" s="40"/>
      <c r="H135" s="95">
        <f>Tabla5121314_3[[#This Row],[A Cobrar]]+Tabla5121314_3[[#This Row],[Bonif]]</f>
        <v>8000</v>
      </c>
      <c r="I135" s="51"/>
      <c r="J135" s="52"/>
      <c r="K135" s="40" cm="1">
        <f t="array" ref="K135">MMULT(Tabla5121314_3[[#This Row],[Tarifas x horas]],8)*Tabla5121314_3[[#This Row],[Vacaciones]]</f>
        <v>0</v>
      </c>
      <c r="L135" s="40">
        <f>Tabla5121314_3[[#This Row],[Sal. Dev]]-Tabla5121314_3[[#This Row],[Ausencias]]+Tabla5121314_3[[#This Row],[pago x vacaciones]]</f>
        <v>8000</v>
      </c>
      <c r="M135" s="40">
        <f>5%*Tabla5121314_3[[#This Row],[Salario Neto]]</f>
        <v>400</v>
      </c>
      <c r="N135" s="42">
        <v>187.5</v>
      </c>
      <c r="O135" s="74">
        <f>Tabla5121314_3[[#This Row],[Sal. Dev]]-Tabla5121314_3[[#This Row],[Ausencias]]+Tabla5121314_3[[#This Row],[pago x vacaciones]]-Tabla5121314_3[[#This Row],[importe Seg Social]]-Tabla5121314_3[[#This Row],[importe Ing Pers]]</f>
        <v>7412.5</v>
      </c>
    </row>
    <row r="136" spans="1:33" s="34" customFormat="1" ht="15.9">
      <c r="A136" s="1">
        <v>60</v>
      </c>
      <c r="B136" s="101" t="str">
        <f>VLOOKUP(Tabla5121314_3[[#This Row],[No. Exp]],Tabla6[],2)</f>
        <v>María Josefa Pimienta Uría</v>
      </c>
      <c r="C136" s="44" t="str">
        <f>VLOOKUP(Tabla5121314_3[[#This Row],[No. Exp]],Tabla6[],3)</f>
        <v>90061436559</v>
      </c>
      <c r="D136" s="76">
        <v>192</v>
      </c>
      <c r="E136" s="76">
        <f>VLOOKUP(Tabla5121314_3[[#This Row],[No. Exp]],Tabla6[],5)</f>
        <v>41.665999999999997</v>
      </c>
      <c r="F136" s="43">
        <f>ROUND(Tabla5121314_3[[#This Row],[Horas trabajadas]]*Tabla5121314_3[[#This Row],[Tarifas x horas]],0)</f>
        <v>8000</v>
      </c>
      <c r="G136" s="43"/>
      <c r="H136" s="98">
        <f>Tabla5121314_3[[#This Row],[A Cobrar]]+Tabla5121314_3[[#This Row],[Bonif]]</f>
        <v>8000</v>
      </c>
      <c r="J136" s="55">
        <v>19.62</v>
      </c>
      <c r="K136" s="76" cm="1">
        <f t="array" ref="K136">MMULT(Tabla5121314_3[[#This Row],[Tarifas x horas]],8)*Tabla5121314_3[[#This Row],[Vacaciones]]</f>
        <v>6539.8953599999995</v>
      </c>
      <c r="L136" s="76">
        <f>Tabla5121314_3[[#This Row],[Sal. Dev]]-Tabla5121314_3[[#This Row],[Ausencias]]+Tabla5121314_3[[#This Row],[pago x vacaciones]]</f>
        <v>14539.895359999999</v>
      </c>
      <c r="M136" s="76">
        <f>5%*Tabla5121314_3[[#This Row],[Salario Neto]]</f>
        <v>726.99476800000002</v>
      </c>
      <c r="N136" s="76">
        <v>187.5</v>
      </c>
      <c r="O136" s="77">
        <f>Tabla5121314_3[[#This Row],[Sal. Dev]]-Tabla5121314_3[[#This Row],[Ausencias]]+Tabla5121314_3[[#This Row],[pago x vacaciones]]-Tabla5121314_3[[#This Row],[importe Seg Social]]-Tabla5121314_3[[#This Row],[importe Ing Pers]]</f>
        <v>13625.400591999998</v>
      </c>
    </row>
    <row r="137" spans="1:33" ht="15.9">
      <c r="A137">
        <v>61</v>
      </c>
      <c r="B137" s="79" t="str">
        <f>VLOOKUP(Tabla5121314_3[[#This Row],[No. Exp]],Tabla6[],2)</f>
        <v>Lisbet Pina Crespo</v>
      </c>
      <c r="C137" s="33" t="str">
        <f>VLOOKUP(Tabla5121314_3[[#This Row],[No. Exp]],Tabla6[],3)</f>
        <v>00091472957</v>
      </c>
      <c r="D137" s="42">
        <v>192</v>
      </c>
      <c r="E137" s="42">
        <f>VLOOKUP(Tabla5121314_3[[#This Row],[No. Exp]],Tabla6[],5)</f>
        <v>41.665999999999997</v>
      </c>
      <c r="F137" s="40">
        <f>ROUND(Tabla5121314_3[[#This Row],[Horas trabajadas]]*Tabla5121314_3[[#This Row],[Tarifas x horas]],0)</f>
        <v>8000</v>
      </c>
      <c r="G137" s="40"/>
      <c r="H137" s="95">
        <f>Tabla5121314_3[[#This Row],[A Cobrar]]+Tabla5121314_3[[#This Row],[Bonif]]</f>
        <v>8000</v>
      </c>
      <c r="J137" s="52"/>
      <c r="K137" s="40" cm="1">
        <f t="array" ref="K137">MMULT(Tabla5121314_3[[#This Row],[Tarifas x horas]],8)*Tabla5121314_3[[#This Row],[Vacaciones]]</f>
        <v>0</v>
      </c>
      <c r="L137" s="40">
        <f>Tabla5121314_3[[#This Row],[Sal. Dev]]-Tabla5121314_3[[#This Row],[Ausencias]]+Tabla5121314_3[[#This Row],[pago x vacaciones]]</f>
        <v>8000</v>
      </c>
      <c r="M137" s="40">
        <f>5%*Tabla5121314_3[[#This Row],[Salario Neto]]</f>
        <v>400</v>
      </c>
      <c r="N137" s="42">
        <v>187.5</v>
      </c>
      <c r="O137" s="74">
        <f>Tabla5121314_3[[#This Row],[Sal. Dev]]-Tabla5121314_3[[#This Row],[Ausencias]]+Tabla5121314_3[[#This Row],[pago x vacaciones]]-Tabla5121314_3[[#This Row],[importe Seg Social]]-Tabla5121314_3[[#This Row],[importe Ing Pers]]</f>
        <v>7412.5</v>
      </c>
    </row>
    <row r="138" spans="1:33" ht="30" customHeight="1">
      <c r="A138">
        <v>62</v>
      </c>
      <c r="B138" s="115" t="str">
        <f>VLOOKUP(Tabla5121314_3[[#This Row],[No. Exp]],Tabla6[],2)</f>
        <v>Marlys de la Caridad Rodriguez Santana</v>
      </c>
      <c r="C138" s="33" t="str">
        <f>VLOOKUP(Tabla5121314_3[[#This Row],[No. Exp]],Tabla6[],3)</f>
        <v>00062372918</v>
      </c>
      <c r="D138" s="42">
        <v>192</v>
      </c>
      <c r="E138" s="42">
        <f>VLOOKUP(Tabla5121314_3[[#This Row],[No. Exp]],Tabla6[],5)</f>
        <v>41.665999999999997</v>
      </c>
      <c r="F138" s="40">
        <f>ROUND(Tabla5121314_3[[#This Row],[Horas trabajadas]]*Tabla5121314_3[[#This Row],[Tarifas x horas]],0)</f>
        <v>8000</v>
      </c>
      <c r="G138" s="40"/>
      <c r="H138" s="95">
        <f>Tabla5121314_3[[#This Row],[A Cobrar]]+Tabla5121314_3[[#This Row],[Bonif]]</f>
        <v>8000</v>
      </c>
      <c r="J138" s="52"/>
      <c r="K138" s="40" cm="1">
        <f t="array" ref="K138">MMULT(Tabla5121314_3[[#This Row],[Tarifas x horas]],8)*Tabla5121314_3[[#This Row],[Vacaciones]]</f>
        <v>0</v>
      </c>
      <c r="L138" s="40">
        <f>Tabla5121314_3[[#This Row],[Sal. Dev]]-Tabla5121314_3[[#This Row],[Ausencias]]+Tabla5121314_3[[#This Row],[pago x vacaciones]]</f>
        <v>8000</v>
      </c>
      <c r="M138" s="40">
        <f>5%*Tabla5121314_3[[#This Row],[Salario Neto]]</f>
        <v>400</v>
      </c>
      <c r="N138" s="42">
        <v>187.5</v>
      </c>
      <c r="O138" s="74">
        <f>Tabla5121314_3[[#This Row],[Sal. Dev]]-Tabla5121314_3[[#This Row],[Ausencias]]+Tabla5121314_3[[#This Row],[pago x vacaciones]]-Tabla5121314_3[[#This Row],[importe Seg Social]]-Tabla5121314_3[[#This Row],[importe Ing Pers]]</f>
        <v>7412.5</v>
      </c>
    </row>
    <row r="139" spans="1:33" ht="15.9">
      <c r="A139">
        <v>63</v>
      </c>
      <c r="B139" s="81" t="str">
        <f>VLOOKUP(Tabla5121314_3[[#This Row],[No. Exp]],Tabla6[],2)</f>
        <v>Dariel Alberto Pérez Cancio</v>
      </c>
      <c r="C139" s="36">
        <f>VLOOKUP(Tabla5121314_3[[#This Row],[No. Exp]],Tabla6[],3)</f>
        <v>95061537180</v>
      </c>
      <c r="D139" s="42">
        <v>192</v>
      </c>
      <c r="E139" s="57">
        <f>VLOOKUP(Tabla5121314_3[[#This Row],[No. Exp]],Tabla6[],5)</f>
        <v>40.625</v>
      </c>
      <c r="F139" s="36">
        <f>ROUND(Tabla5121314_3[[#This Row],[Horas trabajadas]]*Tabla5121314_3[[#This Row],[Tarifas x horas]],0)</f>
        <v>7800</v>
      </c>
      <c r="H139" s="85">
        <f>Tabla5121314_3[[#This Row],[A Cobrar]]+Tabla5121314_3[[#This Row],[Bonif]]</f>
        <v>7800</v>
      </c>
      <c r="J139" s="52"/>
      <c r="K139" s="40" cm="1">
        <f t="array" ref="K139">MMULT(Tabla5121314_3[[#This Row],[Tarifas x horas]],8)*Tabla5121314_3[[#This Row],[Vacaciones]]</f>
        <v>0</v>
      </c>
      <c r="L139" s="40">
        <f>Tabla5121314_3[[#This Row],[Sal. Dev]]-Tabla5121314_3[[#This Row],[Ausencias]]+Tabla5121314_3[[#This Row],[pago x vacaciones]]</f>
        <v>7800</v>
      </c>
      <c r="M139" s="40">
        <f>5%*Tabla5121314_3[[#This Row],[Salario Neto]]</f>
        <v>390</v>
      </c>
      <c r="N139" s="42">
        <v>187.5</v>
      </c>
      <c r="O139" s="74">
        <f>Tabla5121314_3[[#This Row],[Sal. Dev]]-Tabla5121314_3[[#This Row],[Ausencias]]+Tabla5121314_3[[#This Row],[pago x vacaciones]]-Tabla5121314_3[[#This Row],[importe Seg Social]]-Tabla5121314_3[[#This Row],[importe Ing Pers]]</f>
        <v>7222.5</v>
      </c>
    </row>
    <row r="140" spans="1:33" s="34" customFormat="1" ht="15.9">
      <c r="A140" s="1">
        <v>64</v>
      </c>
      <c r="B140" s="111" t="str">
        <f>VLOOKUP(Tabla5121314_3[[#This Row],[No. Exp]],Tabla6[],2)</f>
        <v>Yosbel Hernández Rodríguez</v>
      </c>
      <c r="C140" s="34">
        <f>VLOOKUP(Tabla5121314_3[[#This Row],[No. Exp]],Tabla6[],3)</f>
        <v>85041414746</v>
      </c>
      <c r="D140" s="76">
        <v>192</v>
      </c>
      <c r="E140" s="105">
        <f>VLOOKUP(Tabla5121314_3[[#This Row],[No. Exp]],Tabla6[],5)</f>
        <v>40.625</v>
      </c>
      <c r="F140" s="34">
        <f>ROUND(Tabla5121314_3[[#This Row],[Horas trabajadas]]*Tabla5121314_3[[#This Row],[Tarifas x horas]],0)</f>
        <v>7800</v>
      </c>
      <c r="H140" s="113">
        <f>Tabla5121314_3[[#This Row],[A Cobrar]]+Tabla5121314_3[[#This Row],[Bonif]]</f>
        <v>7800</v>
      </c>
      <c r="J140" s="55">
        <v>15.26</v>
      </c>
      <c r="K140" s="76" cm="1">
        <f t="array" ref="K140">MMULT(Tabla5121314_3[[#This Row],[Tarifas x horas]],8)*Tabla5121314_3[[#This Row],[Vacaciones]]</f>
        <v>4959.5</v>
      </c>
      <c r="L140" s="76">
        <f>Tabla5121314_3[[#This Row],[Sal. Dev]]-Tabla5121314_3[[#This Row],[Ausencias]]+Tabla5121314_3[[#This Row],[pago x vacaciones]]</f>
        <v>12759.5</v>
      </c>
      <c r="M140" s="76">
        <f>5%*Tabla5121314_3[[#This Row],[Salario Neto]]</f>
        <v>637.97500000000002</v>
      </c>
      <c r="N140" s="76">
        <v>187.5</v>
      </c>
      <c r="O140" s="77">
        <f>Tabla5121314_3[[#This Row],[Sal. Dev]]-Tabla5121314_3[[#This Row],[Ausencias]]+Tabla5121314_3[[#This Row],[pago x vacaciones]]-Tabla5121314_3[[#This Row],[importe Seg Social]]-Tabla5121314_3[[#This Row],[importe Ing Pers]]</f>
        <v>11934.025</v>
      </c>
    </row>
    <row r="141" spans="1:33" ht="15.9">
      <c r="A141">
        <v>65</v>
      </c>
      <c r="B141" s="81" t="str">
        <f>VLOOKUP(Tabla5121314_3[[#This Row],[No. Exp]],Tabla6[],2)</f>
        <v>Dasiel Hernández García</v>
      </c>
      <c r="C141" s="36">
        <f>VLOOKUP(Tabla5121314_3[[#This Row],[No. Exp]],Tabla6[],3)</f>
        <v>90083036529</v>
      </c>
      <c r="D141" s="42">
        <v>192</v>
      </c>
      <c r="E141" s="57">
        <f>VLOOKUP(Tabla5121314_3[[#This Row],[No. Exp]],Tabla6[],5)</f>
        <v>40.625</v>
      </c>
      <c r="F141" s="36">
        <f>ROUND(Tabla5121314_3[[#This Row],[Horas trabajadas]]*Tabla5121314_3[[#This Row],[Tarifas x horas]],0)</f>
        <v>7800</v>
      </c>
      <c r="H141" s="85">
        <f>Tabla5121314_3[[#This Row],[A Cobrar]]+Tabla5121314_3[[#This Row],[Bonif]]</f>
        <v>7800</v>
      </c>
      <c r="J141" s="52"/>
      <c r="K141" s="40" cm="1">
        <f t="array" ref="K141">MMULT(Tabla5121314_3[[#This Row],[Tarifas x horas]],8)*Tabla5121314_3[[#This Row],[Vacaciones]]</f>
        <v>0</v>
      </c>
      <c r="L141" s="40">
        <f>Tabla5121314_3[[#This Row],[Sal. Dev]]-Tabla5121314_3[[#This Row],[Ausencias]]+Tabla5121314_3[[#This Row],[pago x vacaciones]]</f>
        <v>7800</v>
      </c>
      <c r="M141" s="40">
        <f>5%*Tabla5121314_3[[#This Row],[Salario Neto]]</f>
        <v>390</v>
      </c>
      <c r="N141" s="42">
        <v>187.5</v>
      </c>
      <c r="O141" s="74">
        <f>Tabla5121314_3[[#This Row],[Sal. Dev]]-Tabla5121314_3[[#This Row],[Ausencias]]+Tabla5121314_3[[#This Row],[pago x vacaciones]]-Tabla5121314_3[[#This Row],[importe Seg Social]]-Tabla5121314_3[[#This Row],[importe Ing Pers]]</f>
        <v>7222.5</v>
      </c>
    </row>
    <row r="142" spans="1:33" ht="15.9">
      <c r="A142">
        <v>66</v>
      </c>
      <c r="B142" s="81" t="str">
        <f>VLOOKUP(Tabla5121314_3[[#This Row],[No. Exp]],Tabla6[],2)</f>
        <v>Oscar Reyes García</v>
      </c>
      <c r="C142" s="36">
        <f>VLOOKUP(Tabla5121314_3[[#This Row],[No. Exp]],Tabla6[],3)</f>
        <v>96070314742</v>
      </c>
      <c r="D142" s="42">
        <v>192</v>
      </c>
      <c r="E142" s="57">
        <f>VLOOKUP(Tabla5121314_3[[#This Row],[No. Exp]],Tabla6[],5)</f>
        <v>40.625</v>
      </c>
      <c r="F142" s="36">
        <f>ROUND(Tabla5121314_3[[#This Row],[Horas trabajadas]]*Tabla5121314_3[[#This Row],[Tarifas x horas]],0)</f>
        <v>7800</v>
      </c>
      <c r="H142" s="85">
        <f>Tabla5121314_3[[#This Row],[A Cobrar]]+Tabla5121314_3[[#This Row],[Bonif]]</f>
        <v>7800</v>
      </c>
      <c r="J142" s="52"/>
      <c r="K142" s="40" cm="1">
        <f t="array" ref="K142">MMULT(Tabla5121314_3[[#This Row],[Tarifas x horas]],8)*Tabla5121314_3[[#This Row],[Vacaciones]]</f>
        <v>0</v>
      </c>
      <c r="L142" s="40">
        <f>Tabla5121314_3[[#This Row],[Sal. Dev]]-Tabla5121314_3[[#This Row],[Ausencias]]+Tabla5121314_3[[#This Row],[pago x vacaciones]]</f>
        <v>7800</v>
      </c>
      <c r="M142" s="40">
        <f>5%*Tabla5121314_3[[#This Row],[Salario Neto]]</f>
        <v>390</v>
      </c>
      <c r="N142" s="42">
        <v>187.5</v>
      </c>
      <c r="O142" s="74">
        <f>Tabla5121314_3[[#This Row],[Sal. Dev]]-Tabla5121314_3[[#This Row],[Ausencias]]+Tabla5121314_3[[#This Row],[pago x vacaciones]]-Tabla5121314_3[[#This Row],[importe Seg Social]]-Tabla5121314_3[[#This Row],[importe Ing Pers]]</f>
        <v>7222.5</v>
      </c>
    </row>
    <row r="143" spans="1:33" ht="15.9">
      <c r="A143">
        <v>67</v>
      </c>
      <c r="B143" s="81" t="str">
        <f>VLOOKUP(Tabla5121314_3[[#This Row],[No. Exp]],Tabla6[],2)</f>
        <v>Junior Pérez Ramos</v>
      </c>
      <c r="C143" s="36">
        <f>VLOOKUP(Tabla5121314_3[[#This Row],[No. Exp]],Tabla6[],3)</f>
        <v>84021714745</v>
      </c>
      <c r="D143" s="42">
        <v>192</v>
      </c>
      <c r="E143" s="57">
        <f>VLOOKUP(Tabla5121314_3[[#This Row],[No. Exp]],Tabla6[],5)</f>
        <v>40.625</v>
      </c>
      <c r="F143" s="36">
        <f>ROUND(Tabla5121314_3[[#This Row],[Horas trabajadas]]*Tabla5121314_3[[#This Row],[Tarifas x horas]],0)</f>
        <v>7800</v>
      </c>
      <c r="H143" s="85">
        <f>Tabla5121314_3[[#This Row],[A Cobrar]]+Tabla5121314_3[[#This Row],[Bonif]]</f>
        <v>7800</v>
      </c>
      <c r="J143" s="52"/>
      <c r="K143" s="40" cm="1">
        <f t="array" ref="K143">MMULT(Tabla5121314_3[[#This Row],[Tarifas x horas]],8)*Tabla5121314_3[[#This Row],[Vacaciones]]</f>
        <v>0</v>
      </c>
      <c r="L143" s="40">
        <f>Tabla5121314_3[[#This Row],[Sal. Dev]]-Tabla5121314_3[[#This Row],[Ausencias]]+Tabla5121314_3[[#This Row],[pago x vacaciones]]</f>
        <v>7800</v>
      </c>
      <c r="M143" s="40">
        <f>5%*Tabla5121314_3[[#This Row],[Salario Neto]]</f>
        <v>390</v>
      </c>
      <c r="N143" s="42">
        <v>187.5</v>
      </c>
      <c r="O143" s="74">
        <f>Tabla5121314_3[[#This Row],[Sal. Dev]]-Tabla5121314_3[[#This Row],[Ausencias]]+Tabla5121314_3[[#This Row],[pago x vacaciones]]-Tabla5121314_3[[#This Row],[importe Seg Social]]-Tabla5121314_3[[#This Row],[importe Ing Pers]]</f>
        <v>7222.5</v>
      </c>
    </row>
    <row r="144" spans="1:33" ht="15.9">
      <c r="A144">
        <v>68</v>
      </c>
      <c r="B144" s="81" t="str">
        <f>VLOOKUP(Tabla5121314_3[[#This Row],[No. Exp]],Tabla6[],2)</f>
        <v>Dayron Angel Pérez Chirino</v>
      </c>
      <c r="C144" s="36" t="str">
        <f>VLOOKUP(Tabla5121314_3[[#This Row],[No. Exp]],Tabla6[],3)</f>
        <v>03113073183</v>
      </c>
      <c r="D144" s="42">
        <v>192</v>
      </c>
      <c r="E144" s="57">
        <f>VLOOKUP(Tabla5121314_3[[#This Row],[No. Exp]],Tabla6[],5)</f>
        <v>40.625</v>
      </c>
      <c r="F144" s="36">
        <f>ROUND(Tabla5121314_3[[#This Row],[Horas trabajadas]]*Tabla5121314_3[[#This Row],[Tarifas x horas]],0)</f>
        <v>7800</v>
      </c>
      <c r="H144" s="85">
        <f>Tabla5121314_3[[#This Row],[A Cobrar]]+Tabla5121314_3[[#This Row],[Bonif]]</f>
        <v>7800</v>
      </c>
      <c r="J144" s="52"/>
      <c r="K144" s="40" cm="1">
        <f t="array" ref="K144">MMULT(Tabla5121314_3[[#This Row],[Tarifas x horas]],8)*Tabla5121314_3[[#This Row],[Vacaciones]]</f>
        <v>0</v>
      </c>
      <c r="L144" s="40">
        <f>Tabla5121314_3[[#This Row],[Sal. Dev]]-Tabla5121314_3[[#This Row],[Ausencias]]+Tabla5121314_3[[#This Row],[pago x vacaciones]]</f>
        <v>7800</v>
      </c>
      <c r="M144" s="40">
        <f>5%*Tabla5121314_3[[#This Row],[Salario Neto]]</f>
        <v>390</v>
      </c>
      <c r="N144" s="42">
        <v>187.5</v>
      </c>
      <c r="O144" s="74">
        <f>Tabla5121314_3[[#This Row],[Sal. Dev]]-Tabla5121314_3[[#This Row],[Ausencias]]+Tabla5121314_3[[#This Row],[pago x vacaciones]]-Tabla5121314_3[[#This Row],[importe Seg Social]]-Tabla5121314_3[[#This Row],[importe Ing Pers]]</f>
        <v>7222.5</v>
      </c>
    </row>
    <row r="145" spans="1:15" s="34" customFormat="1" ht="15.9">
      <c r="A145" s="1">
        <v>69</v>
      </c>
      <c r="B145" s="111" t="str">
        <f>VLOOKUP(Tabla5121314_3[[#This Row],[No. Exp]],Tabla6[],2)</f>
        <v>Luis Alberto Chirino Hernández</v>
      </c>
      <c r="C145" s="34" t="str">
        <f>VLOOKUP(Tabla5121314_3[[#This Row],[No. Exp]],Tabla6[],3)</f>
        <v>97030613040</v>
      </c>
      <c r="D145" s="76">
        <v>192</v>
      </c>
      <c r="E145" s="105">
        <f>VLOOKUP(Tabla5121314_3[[#This Row],[No. Exp]],Tabla6[],5)</f>
        <v>40.625</v>
      </c>
      <c r="F145" s="34">
        <f>ROUND(Tabla5121314_3[[#This Row],[Horas trabajadas]]*Tabla5121314_3[[#This Row],[Tarifas x horas]],0)</f>
        <v>7800</v>
      </c>
      <c r="H145" s="113">
        <f>Tabla5121314_3[[#This Row],[A Cobrar]]+Tabla5121314_3[[#This Row],[Bonif]]</f>
        <v>7800</v>
      </c>
      <c r="J145" s="55">
        <v>10.9</v>
      </c>
      <c r="K145" s="76" cm="1">
        <f t="array" ref="K145">MMULT(Tabla5121314_3[[#This Row],[Tarifas x horas]],8)*Tabla5121314_3[[#This Row],[Vacaciones]]</f>
        <v>3542.5</v>
      </c>
      <c r="L145" s="76">
        <f>Tabla5121314_3[[#This Row],[Sal. Dev]]-Tabla5121314_3[[#This Row],[Ausencias]]+Tabla5121314_3[[#This Row],[pago x vacaciones]]</f>
        <v>11342.5</v>
      </c>
      <c r="M145" s="76">
        <f>5%*Tabla5121314_3[[#This Row],[Salario Neto]]</f>
        <v>567.125</v>
      </c>
      <c r="N145" s="76">
        <v>187.5</v>
      </c>
      <c r="O145" s="77">
        <f>Tabla5121314_3[[#This Row],[Sal. Dev]]-Tabla5121314_3[[#This Row],[Ausencias]]+Tabla5121314_3[[#This Row],[pago x vacaciones]]-Tabla5121314_3[[#This Row],[importe Seg Social]]-Tabla5121314_3[[#This Row],[importe Ing Pers]]</f>
        <v>10587.875</v>
      </c>
    </row>
    <row r="146" spans="1:15" ht="15.9">
      <c r="A146">
        <v>70</v>
      </c>
      <c r="B146" s="81" t="str">
        <f>VLOOKUP(Tabla5121314_3[[#This Row],[No. Exp]],Tabla6[],2)</f>
        <v>Juan Carlos Pérez Morales</v>
      </c>
      <c r="C146" s="36" t="str">
        <f>VLOOKUP(Tabla5121314_3[[#This Row],[No. Exp]],Tabla6[],3)</f>
        <v>97101013044</v>
      </c>
      <c r="D146" s="42">
        <v>192</v>
      </c>
      <c r="E146" s="57">
        <f>VLOOKUP(Tabla5121314_3[[#This Row],[No. Exp]],Tabla6[],5)</f>
        <v>40.625</v>
      </c>
      <c r="F146" s="36">
        <f>ROUND(Tabla5121314_3[[#This Row],[Horas trabajadas]]*Tabla5121314_3[[#This Row],[Tarifas x horas]],0)</f>
        <v>7800</v>
      </c>
      <c r="H146" s="85">
        <f>Tabla5121314_3[[#This Row],[A Cobrar]]+Tabla5121314_3[[#This Row],[Bonif]]</f>
        <v>7800</v>
      </c>
      <c r="J146" s="52"/>
      <c r="K146" s="40" cm="1">
        <f t="array" ref="K146">MMULT(Tabla5121314_3[[#This Row],[Tarifas x horas]],8)*Tabla5121314_3[[#This Row],[Vacaciones]]</f>
        <v>0</v>
      </c>
      <c r="L146" s="40">
        <f>Tabla5121314_3[[#This Row],[Sal. Dev]]-Tabla5121314_3[[#This Row],[Ausencias]]+Tabla5121314_3[[#This Row],[pago x vacaciones]]</f>
        <v>7800</v>
      </c>
      <c r="M146" s="40">
        <f>5%*Tabla5121314_3[[#This Row],[Salario Neto]]</f>
        <v>390</v>
      </c>
      <c r="N146" s="42">
        <v>187.5</v>
      </c>
      <c r="O146" s="74">
        <f>Tabla5121314_3[[#This Row],[Sal. Dev]]-Tabla5121314_3[[#This Row],[Ausencias]]+Tabla5121314_3[[#This Row],[pago x vacaciones]]-Tabla5121314_3[[#This Row],[importe Seg Social]]-Tabla5121314_3[[#This Row],[importe Ing Pers]]</f>
        <v>7222.5</v>
      </c>
    </row>
    <row r="147" spans="1:15" ht="15.9">
      <c r="A147">
        <v>71</v>
      </c>
      <c r="B147" s="81" t="str">
        <f>VLOOKUP(Tabla5121314_3[[#This Row],[No. Exp]],Tabla6[],2)</f>
        <v>Andrea Otero Díaz</v>
      </c>
      <c r="C147" s="36" t="str">
        <f>VLOOKUP(Tabla5121314_3[[#This Row],[No. Exp]],Tabla6[],3)</f>
        <v>70021324130</v>
      </c>
      <c r="D147" s="42">
        <v>192</v>
      </c>
      <c r="E147" s="57">
        <f>VLOOKUP(Tabla5121314_3[[#This Row],[No. Exp]],Tabla6[],5)</f>
        <v>39.06</v>
      </c>
      <c r="F147" s="61">
        <f>ROUND(Tabla5121314_3[[#This Row],[Horas trabajadas]]*Tabla5121314_3[[#This Row],[Tarifas x horas]],0)</f>
        <v>7500</v>
      </c>
      <c r="H147" s="85">
        <f>Tabla5121314_3[[#This Row],[A Cobrar]]+Tabla5121314_3[[#This Row],[Bonif]]</f>
        <v>7500</v>
      </c>
      <c r="J147" s="52"/>
      <c r="K147" s="40" cm="1">
        <f t="array" ref="K147">MMULT(Tabla5121314_3[[#This Row],[Tarifas x horas]],8)*Tabla5121314_3[[#This Row],[Vacaciones]]</f>
        <v>0</v>
      </c>
      <c r="L147" s="40">
        <f>Tabla5121314_3[[#This Row],[Sal. Dev]]-Tabla5121314_3[[#This Row],[Ausencias]]+Tabla5121314_3[[#This Row],[pago x vacaciones]]</f>
        <v>7500</v>
      </c>
      <c r="M147" s="40">
        <f>5%*Tabla5121314_3[[#This Row],[Salario Neto]]</f>
        <v>375</v>
      </c>
      <c r="N147" s="42">
        <v>187.5</v>
      </c>
      <c r="O147" s="74">
        <f>Tabla5121314_3[[#This Row],[Sal. Dev]]-Tabla5121314_3[[#This Row],[Ausencias]]+Tabla5121314_3[[#This Row],[pago x vacaciones]]-Tabla5121314_3[[#This Row],[importe Seg Social]]-Tabla5121314_3[[#This Row],[importe Ing Pers]]</f>
        <v>6937.5</v>
      </c>
    </row>
    <row r="148" spans="1:15" ht="15.9">
      <c r="A148" s="36">
        <v>97</v>
      </c>
      <c r="B148" s="81" t="str">
        <f>VLOOKUP(Tabla5121314_3[[#This Row],[No. Exp]],Tabla6[],2)</f>
        <v xml:space="preserve">Linier Lazo Camero </v>
      </c>
      <c r="C148" s="36">
        <f>VLOOKUP(Tabla5121314_3[[#This Row],[No. Exp]],Tabla6[],3)</f>
        <v>92032937021</v>
      </c>
      <c r="D148" s="42">
        <v>192</v>
      </c>
      <c r="E148" s="57">
        <f>VLOOKUP(Tabla5121314_3[[#This Row],[No. Exp]],Tabla6[],5)</f>
        <v>40.625</v>
      </c>
      <c r="F148" s="36">
        <f>ROUND(Tabla5121314_3[[#This Row],[Horas trabajadas]]*Tabla5121314_3[[#This Row],[Tarifas x horas]],0)</f>
        <v>7800</v>
      </c>
      <c r="H148" s="108">
        <f>Tabla5121314_3[[#This Row],[A Cobrar]]+Tabla5121314_3[[#This Row],[Bonif]]</f>
        <v>7800</v>
      </c>
      <c r="J148" s="52" t="e">
        <f>'Submayor Vacaciones'!#REF!</f>
        <v>#REF!</v>
      </c>
      <c r="K148" s="40" t="e" cm="1">
        <f t="array" ref="K148">MMULT(Tabla5121314_3[[#This Row],[Tarifas x horas]],8)*Tabla5121314_3[[#This Row],[Vacaciones]]</f>
        <v>#REF!</v>
      </c>
      <c r="L148" s="40" t="e">
        <f>Tabla5121314_3[[#This Row],[Sal. Dev]]-Tabla5121314_3[[#This Row],[Ausencias]]+Tabla5121314_3[[#This Row],[pago x vacaciones]]</f>
        <v>#REF!</v>
      </c>
      <c r="M148" s="40" t="e">
        <f>5%*Tabla5121314_3[[#This Row],[Salario Neto]]</f>
        <v>#REF!</v>
      </c>
      <c r="N148" s="42">
        <v>187.5</v>
      </c>
      <c r="O148" s="109" t="e">
        <f>Tabla5121314_3[[#This Row],[Sal. Dev]]-Tabla5121314_3[[#This Row],[Ausencias]]+Tabla5121314_3[[#This Row],[pago x vacaciones]]-Tabla5121314_3[[#This Row],[importe Seg Social]]-Tabla5121314_3[[#This Row],[importe Ing Pers]]</f>
        <v>#REF!</v>
      </c>
    </row>
    <row r="149" spans="1:15" s="34" customFormat="1" ht="15.9">
      <c r="A149" s="34">
        <v>98</v>
      </c>
      <c r="B149" s="111" t="str">
        <f>VLOOKUP(Tabla5121314_3[[#This Row],[No. Exp]],Tabla6[],2)</f>
        <v>Danilier Cabrera Quiñonez</v>
      </c>
      <c r="C149" s="34">
        <f>VLOOKUP(Tabla5121314_3[[#This Row],[No. Exp]],Tabla6[],3)</f>
        <v>89101224289</v>
      </c>
      <c r="D149" s="76">
        <v>192</v>
      </c>
      <c r="E149" s="105">
        <f>VLOOKUP(Tabla5121314_3[[#This Row],[No. Exp]],Tabla6[],5)</f>
        <v>40.625</v>
      </c>
      <c r="F149" s="34">
        <f>ROUND(Tabla5121314_3[[#This Row],[Horas trabajadas]]*Tabla5121314_3[[#This Row],[Tarifas x horas]],0)</f>
        <v>7800</v>
      </c>
      <c r="H149" s="110">
        <f>Tabla5121314_3[[#This Row],[A Cobrar]]+Tabla5121314_3[[#This Row],[Bonif]]</f>
        <v>7800</v>
      </c>
      <c r="J149" s="55">
        <v>11.36</v>
      </c>
      <c r="K149" s="76" cm="1">
        <f t="array" ref="K149">MMULT(Tabla5121314_3[[#This Row],[Tarifas x horas]],8)*Tabla5121314_3[[#This Row],[Vacaciones]]</f>
        <v>3692</v>
      </c>
      <c r="L149" s="76">
        <f>Tabla5121314_3[[#This Row],[Sal. Dev]]-Tabla5121314_3[[#This Row],[Ausencias]]+Tabla5121314_3[[#This Row],[pago x vacaciones]]</f>
        <v>11492</v>
      </c>
      <c r="M149" s="76">
        <f>5%*Tabla5121314_3[[#This Row],[Salario Neto]]</f>
        <v>574.6</v>
      </c>
      <c r="N149" s="76">
        <v>187.5</v>
      </c>
      <c r="O149" s="77">
        <f>Tabla5121314_3[[#This Row],[Sal. Dev]]-Tabla5121314_3[[#This Row],[Ausencias]]+Tabla5121314_3[[#This Row],[pago x vacaciones]]-Tabla5121314_3[[#This Row],[importe Seg Social]]-Tabla5121314_3[[#This Row],[importe Ing Pers]]</f>
        <v>10729.9</v>
      </c>
    </row>
    <row r="150" spans="1:15" ht="15.9">
      <c r="A150" s="36">
        <v>99</v>
      </c>
      <c r="B150" s="81" t="str">
        <f>VLOOKUP(Tabla5121314_3[[#This Row],[No. Exp]],Tabla6[],2)</f>
        <v>Rachel Martell Salabarria</v>
      </c>
      <c r="C150" s="36">
        <f>VLOOKUP(Tabla5121314_3[[#This Row],[No. Exp]],Tabla6[],3)</f>
        <v>97091913233</v>
      </c>
      <c r="D150" s="42">
        <v>192</v>
      </c>
      <c r="E150" s="57">
        <f>VLOOKUP(Tabla5121314_3[[#This Row],[No. Exp]],Tabla6[],5)</f>
        <v>41.665999999999997</v>
      </c>
      <c r="F150" s="36">
        <f>ROUND(Tabla5121314_3[[#This Row],[Horas trabajadas]]*Tabla5121314_3[[#This Row],[Tarifas x horas]],0)</f>
        <v>8000</v>
      </c>
      <c r="H150" s="108">
        <f>Tabla5121314_3[[#This Row],[A Cobrar]]+Tabla5121314_3[[#This Row],[Bonif]]</f>
        <v>8000</v>
      </c>
      <c r="J150" s="52" t="e">
        <f>'Submayor Vacaciones'!#REF!</f>
        <v>#REF!</v>
      </c>
      <c r="K150" s="40" t="e" cm="1">
        <f t="array" ref="K150">MMULT(Tabla5121314_3[[#This Row],[Tarifas x horas]],8)*Tabla5121314_3[[#This Row],[Vacaciones]]</f>
        <v>#REF!</v>
      </c>
      <c r="L150" s="40" t="e">
        <f>Tabla5121314_3[[#This Row],[Sal. Dev]]-Tabla5121314_3[[#This Row],[Ausencias]]+Tabla5121314_3[[#This Row],[pago x vacaciones]]</f>
        <v>#REF!</v>
      </c>
      <c r="M150" s="40" t="e">
        <f>5%*Tabla5121314_3[[#This Row],[Salario Neto]]</f>
        <v>#REF!</v>
      </c>
      <c r="N150" s="42">
        <v>187.5</v>
      </c>
      <c r="O150" s="109" t="e">
        <f>Tabla5121314_3[[#This Row],[Sal. Dev]]-Tabla5121314_3[[#This Row],[Ausencias]]+Tabla5121314_3[[#This Row],[pago x vacaciones]]-Tabla5121314_3[[#This Row],[importe Seg Social]]-Tabla5121314_3[[#This Row],[importe Ing Pers]]</f>
        <v>#REF!</v>
      </c>
    </row>
    <row r="151" spans="1:15" ht="15.9">
      <c r="D151" s="42"/>
      <c r="E151" s="57"/>
      <c r="H151" s="108"/>
      <c r="J151" s="52"/>
      <c r="K151" s="40"/>
      <c r="L151" s="40"/>
      <c r="M151" s="40"/>
      <c r="N151" s="42"/>
      <c r="O151" s="109"/>
    </row>
    <row r="152" spans="1:15" ht="15.9">
      <c r="A152"/>
      <c r="D152" s="42"/>
      <c r="E152" s="57"/>
      <c r="F152" s="61"/>
      <c r="H152" s="53"/>
      <c r="J152" s="52"/>
      <c r="K152" s="40"/>
      <c r="L152" s="40"/>
      <c r="M152" s="40"/>
      <c r="N152" s="42"/>
      <c r="O152" s="74"/>
    </row>
    <row r="153" spans="1:15" ht="15.9">
      <c r="A153"/>
      <c r="D153" s="42"/>
      <c r="E153" s="57"/>
      <c r="F153" s="61"/>
      <c r="H153" s="53"/>
      <c r="J153" s="52"/>
      <c r="K153" s="40"/>
      <c r="L153" s="40"/>
      <c r="M153" s="40"/>
      <c r="N153" s="42"/>
      <c r="O153" s="74"/>
    </row>
    <row r="154" spans="1:15" ht="15.9">
      <c r="A154"/>
      <c r="B154" s="451" t="s">
        <v>209</v>
      </c>
      <c r="C154" s="451"/>
      <c r="D154" s="42"/>
      <c r="E154" s="57"/>
      <c r="F154" s="61"/>
      <c r="H154" s="53"/>
      <c r="J154" s="52"/>
      <c r="K154" s="40"/>
      <c r="L154" s="40"/>
      <c r="M154" s="40"/>
      <c r="N154" s="42"/>
      <c r="O154" s="74"/>
    </row>
    <row r="155" spans="1:15" ht="15.9">
      <c r="A155"/>
      <c r="B155" s="451"/>
      <c r="C155" s="451"/>
      <c r="D155" s="42"/>
      <c r="E155" s="57"/>
      <c r="F155" s="61"/>
      <c r="H155" s="53"/>
      <c r="J155" s="52"/>
      <c r="K155" s="40"/>
      <c r="L155" s="40"/>
      <c r="M155" s="40"/>
      <c r="N155" s="42"/>
      <c r="O155" s="74"/>
    </row>
    <row r="156" spans="1:15" ht="15.9">
      <c r="A156"/>
      <c r="D156" s="42"/>
      <c r="E156" s="57"/>
      <c r="F156" s="61"/>
      <c r="H156" s="53"/>
      <c r="J156" s="52"/>
      <c r="K156" s="40"/>
      <c r="L156" s="40"/>
      <c r="M156" s="40"/>
      <c r="N156" s="42"/>
      <c r="O156" s="74"/>
    </row>
    <row r="157" spans="1:15">
      <c r="F157" s="57"/>
    </row>
    <row r="158" spans="1:15" ht="18.45">
      <c r="A158" s="453" t="s">
        <v>0</v>
      </c>
      <c r="B158" s="453"/>
      <c r="C158" s="37"/>
      <c r="D158" s="37"/>
      <c r="I158" s="33" t="s">
        <v>1</v>
      </c>
      <c r="J158" s="33" t="s">
        <v>2</v>
      </c>
      <c r="K158" s="127">
        <f>K127</f>
        <v>45901</v>
      </c>
      <c r="L158" s="50" t="s">
        <v>3</v>
      </c>
      <c r="M158" s="127">
        <f>M127</f>
        <v>45930</v>
      </c>
      <c r="N158" s="33"/>
    </row>
    <row r="159" spans="1:15">
      <c r="A159" s="449" t="s">
        <v>4</v>
      </c>
      <c r="B159" s="449"/>
      <c r="C159" s="38" t="str">
        <f>C128</f>
        <v>Amanda Marcano Bahler</v>
      </c>
    </row>
    <row r="160" spans="1:15">
      <c r="A160" s="449" t="s">
        <v>5</v>
      </c>
      <c r="B160" s="449"/>
      <c r="C160" s="39"/>
      <c r="L160" s="85" t="s">
        <v>207</v>
      </c>
      <c r="M160" s="38">
        <v>192</v>
      </c>
    </row>
    <row r="162" spans="1:15" ht="18.45">
      <c r="A162" s="452" t="s">
        <v>7</v>
      </c>
      <c r="B162" s="452"/>
      <c r="C162" s="28" t="s">
        <v>22</v>
      </c>
      <c r="L162" s="449" t="s">
        <v>9</v>
      </c>
      <c r="M162" s="449"/>
    </row>
    <row r="163" spans="1:15" s="24" customFormat="1" ht="29.15">
      <c r="A163" s="87" t="s">
        <v>10</v>
      </c>
      <c r="B163" s="87" t="s">
        <v>11</v>
      </c>
      <c r="C163" s="87" t="s">
        <v>12</v>
      </c>
      <c r="D163" s="88" t="s">
        <v>201</v>
      </c>
      <c r="E163" s="88" t="s">
        <v>200</v>
      </c>
      <c r="F163" s="87" t="s">
        <v>13</v>
      </c>
      <c r="G163" s="87" t="s">
        <v>14</v>
      </c>
      <c r="H163" s="89" t="s">
        <v>15</v>
      </c>
      <c r="I163" s="90" t="s">
        <v>197</v>
      </c>
      <c r="J163" s="87" t="s">
        <v>9</v>
      </c>
      <c r="K163" s="87" t="s">
        <v>16</v>
      </c>
      <c r="L163" s="90" t="s">
        <v>196</v>
      </c>
      <c r="M163" s="88" t="s">
        <v>194</v>
      </c>
      <c r="N163" s="87" t="s">
        <v>195</v>
      </c>
      <c r="O163" s="91" t="s">
        <v>191</v>
      </c>
    </row>
    <row r="164" spans="1:15" ht="15.9">
      <c r="A164" s="45">
        <v>73</v>
      </c>
      <c r="B164" s="40" t="str">
        <f>VLOOKUP(Tabla5121314_34[[#This Row],[No. Exp]],Tabla6[],2)</f>
        <v>Rafael Tamarit Duany</v>
      </c>
      <c r="C164" s="40">
        <f>VLOOKUP(Tabla5121314_34[[#This Row],[No. Exp]],Tabla6[],3)</f>
        <v>91061428505</v>
      </c>
      <c r="D164" s="42">
        <v>192</v>
      </c>
      <c r="E164" s="42">
        <f>VLOOKUP(Tabla5121314_34[[#This Row],[No. Exp]],Tabla6[],5)</f>
        <v>40.103999999999999</v>
      </c>
      <c r="F164" s="40">
        <f>ROUND(Tabla5121314_34[[#This Row],[Horas trabajadas]]*Tabla5121314_34[[#This Row],[Tarifas x Horas]],0)</f>
        <v>7700</v>
      </c>
      <c r="G164" s="40"/>
      <c r="H164" s="95">
        <f>Tabla5121314_34[[#This Row],[A Cobrar]]+Tabla5121314_34[[#This Row],[Bonif]]</f>
        <v>7700</v>
      </c>
      <c r="I164" s="40"/>
      <c r="J164" s="52"/>
      <c r="K164" s="36" cm="1">
        <f t="array" ref="K164">MMULT(Tabla5121314_34[[#This Row],[Tarifas x Horas]],8)*Tabla5121314_34[[#This Row],[Vacaciones]]</f>
        <v>0</v>
      </c>
      <c r="L164" s="40">
        <f>Tabla5121314_34[[#This Row],[Sal. Dev]]-Tabla5121314_34[[#This Row],[Ausencias]]+Tabla5121314_34[[#This Row],[pago x vacaciones]]</f>
        <v>7700</v>
      </c>
      <c r="M164" s="40">
        <f>5%*Tabla5121314_34[[#This Row],[Salario Neto]]</f>
        <v>385</v>
      </c>
      <c r="N164" s="42">
        <v>187.5</v>
      </c>
      <c r="O164" s="74">
        <f>Tabla5121314_34[[#This Row],[Sal. Dev]]-Tabla5121314_34[[#This Row],[Ausencias]]+Tabla5121314_34[[#This Row],[pago x vacaciones]]-Tabla5121314_34[[#This Row],[importe Seg Social]]-Tabla5121314_34[[#This Row],[importe Ing Pers]]</f>
        <v>7127.5</v>
      </c>
    </row>
    <row r="165" spans="1:15" ht="15.9">
      <c r="A165" s="45">
        <v>74</v>
      </c>
      <c r="B165" s="40" t="str">
        <f>VLOOKUP(Tabla5121314_34[[#This Row],[No. Exp]],Tabla6[],2)</f>
        <v>Adriel Agramonte Bernaldes</v>
      </c>
      <c r="C165" s="40" t="str">
        <f>VLOOKUP(Tabla5121314_34[[#This Row],[No. Exp]],Tabla6[],3)</f>
        <v>84072608329</v>
      </c>
      <c r="D165" s="42">
        <v>192</v>
      </c>
      <c r="E165" s="42">
        <f>VLOOKUP(Tabla5121314_34[[#This Row],[No. Exp]],Tabla6[],5)</f>
        <v>41.145000000000003</v>
      </c>
      <c r="F165" s="40">
        <f>ROUND(Tabla5121314_34[[#This Row],[Horas trabajadas]]*Tabla5121314_34[[#This Row],[Tarifas x Horas]],0)</f>
        <v>7900</v>
      </c>
      <c r="G165" s="40"/>
      <c r="H165" s="95">
        <f>Tabla5121314_34[[#This Row],[A Cobrar]]+Tabla5121314_34[[#This Row],[Bonif]]</f>
        <v>7900</v>
      </c>
      <c r="I165" s="40"/>
      <c r="J165" s="52"/>
      <c r="K165" s="36" cm="1">
        <f t="array" ref="K165">MMULT(Tabla5121314_34[[#This Row],[Tarifas x Horas]],8)*Tabla5121314_34[[#This Row],[Vacaciones]]</f>
        <v>0</v>
      </c>
      <c r="L165" s="40">
        <f>Tabla5121314_34[[#This Row],[Sal. Dev]]-Tabla5121314_34[[#This Row],[Ausencias]]+Tabla5121314_34[[#This Row],[pago x vacaciones]]</f>
        <v>7900</v>
      </c>
      <c r="M165" s="40">
        <f>5%*Tabla5121314_34[[#This Row],[Salario Neto]]</f>
        <v>395</v>
      </c>
      <c r="N165" s="42">
        <v>187.5</v>
      </c>
      <c r="O165" s="74">
        <f>Tabla5121314_34[[#This Row],[Sal. Dev]]-Tabla5121314_34[[#This Row],[Ausencias]]+Tabla5121314_34[[#This Row],[pago x vacaciones]]-Tabla5121314_34[[#This Row],[importe Seg Social]]-Tabla5121314_34[[#This Row],[importe Ing Pers]]</f>
        <v>7317.5</v>
      </c>
    </row>
    <row r="166" spans="1:15" ht="29.15">
      <c r="A166">
        <v>75</v>
      </c>
      <c r="B166" s="40" t="str">
        <f>VLOOKUP(Tabla5121314_34[[#This Row],[No. Exp]],Tabla6[],2)</f>
        <v>Orestes Yamir Domínguez de la Puente</v>
      </c>
      <c r="C166" s="33">
        <f>VLOOKUP(Tabla5121314_34[[#This Row],[No. Exp]],Tabla6[],3)</f>
        <v>73041735285</v>
      </c>
      <c r="D166" s="42">
        <v>192</v>
      </c>
      <c r="E166" s="42">
        <f>VLOOKUP(Tabla5121314_34[[#This Row],[No. Exp]],Tabla6[],5)</f>
        <v>41.145000000000003</v>
      </c>
      <c r="F166" s="40">
        <f>ROUND(Tabla5121314_34[[#This Row],[Horas trabajadas]]*Tabla5121314_34[[#This Row],[Tarifas x Horas]],0)</f>
        <v>7900</v>
      </c>
      <c r="G166" s="40"/>
      <c r="H166" s="95">
        <f>Tabla5121314_34[[#This Row],[A Cobrar]]+Tabla5121314_34[[#This Row],[Bonif]]</f>
        <v>7900</v>
      </c>
      <c r="I166" s="51"/>
      <c r="J166" s="52"/>
      <c r="K166" s="36" cm="1">
        <f t="array" ref="K166">MMULT(Tabla5121314_34[[#This Row],[Tarifas x Horas]],8)*Tabla5121314_34[[#This Row],[Vacaciones]]</f>
        <v>0</v>
      </c>
      <c r="L166" s="40">
        <f>Tabla5121314_34[[#This Row],[Sal. Dev]]-Tabla5121314_34[[#This Row],[Ausencias]]+Tabla5121314_34[[#This Row],[pago x vacaciones]]</f>
        <v>7900</v>
      </c>
      <c r="M166" s="40">
        <f>5%*Tabla5121314_34[[#This Row],[Salario Neto]]</f>
        <v>395</v>
      </c>
      <c r="N166" s="42">
        <v>187.5</v>
      </c>
      <c r="O166" s="74">
        <f>Tabla5121314_34[[#This Row],[Sal. Dev]]-Tabla5121314_34[[#This Row],[Ausencias]]+Tabla5121314_34[[#This Row],[pago x vacaciones]]-Tabla5121314_34[[#This Row],[importe Seg Social]]-Tabla5121314_34[[#This Row],[importe Ing Pers]]</f>
        <v>7317.5</v>
      </c>
    </row>
    <row r="167" spans="1:15" ht="15.9">
      <c r="A167">
        <v>76</v>
      </c>
      <c r="B167" s="40" t="str">
        <f>VLOOKUP(Tabla5121314_34[[#This Row],[No. Exp]],Tabla6[],2)</f>
        <v>Alain Carboneres Lezcano</v>
      </c>
      <c r="C167" s="33">
        <f>VLOOKUP(Tabla5121314_34[[#This Row],[No. Exp]],Tabla6[],3)</f>
        <v>79080814208</v>
      </c>
      <c r="D167" s="42">
        <f t="shared" ref="D167:D177" si="4">D166</f>
        <v>192</v>
      </c>
      <c r="E167" s="42">
        <f>VLOOKUP(Tabla5121314_34[[#This Row],[No. Exp]],Tabla6[],5)</f>
        <v>41.145000000000003</v>
      </c>
      <c r="F167" s="40">
        <f>ROUND(Tabla5121314_34[[#This Row],[Horas trabajadas]]*Tabla5121314_34[[#This Row],[Tarifas x Horas]],0)</f>
        <v>7900</v>
      </c>
      <c r="G167" s="40"/>
      <c r="H167" s="95">
        <f>Tabla5121314_34[[#This Row],[A Cobrar]]+Tabla5121314_34[[#This Row],[Bonif]]</f>
        <v>7900</v>
      </c>
      <c r="J167" s="52"/>
      <c r="K167" s="36" cm="1">
        <f t="array" ref="K167">MMULT(Tabla5121314_34[[#This Row],[Tarifas x Horas]],8)*Tabla5121314_34[[#This Row],[Vacaciones]]</f>
        <v>0</v>
      </c>
      <c r="L167" s="40">
        <f>Tabla5121314_34[[#This Row],[Sal. Dev]]-Tabla5121314_34[[#This Row],[Ausencias]]+Tabla5121314_34[[#This Row],[pago x vacaciones]]</f>
        <v>7900</v>
      </c>
      <c r="M167" s="40">
        <f>5%*Tabla5121314_34[[#This Row],[Salario Neto]]</f>
        <v>395</v>
      </c>
      <c r="N167" s="42">
        <v>187.5</v>
      </c>
      <c r="O167" s="74">
        <f>Tabla5121314_34[[#This Row],[Sal. Dev]]-Tabla5121314_34[[#This Row],[Ausencias]]+Tabla5121314_34[[#This Row],[pago x vacaciones]]-Tabla5121314_34[[#This Row],[importe Seg Social]]-Tabla5121314_34[[#This Row],[importe Ing Pers]]</f>
        <v>7317.5</v>
      </c>
    </row>
    <row r="168" spans="1:15" ht="15.9">
      <c r="A168">
        <v>77</v>
      </c>
      <c r="B168" s="40" t="str">
        <f>VLOOKUP(Tabla5121314_34[[#This Row],[No. Exp]],Tabla6[],2)</f>
        <v>Adrián Tejeda Lobaina</v>
      </c>
      <c r="C168" s="33">
        <f>VLOOKUP(Tabla5121314_34[[#This Row],[No. Exp]],Tabla6[],3)</f>
        <v>92080705868</v>
      </c>
      <c r="D168" s="42">
        <f t="shared" si="4"/>
        <v>192</v>
      </c>
      <c r="E168" s="42">
        <f>VLOOKUP(Tabla5121314_34[[#This Row],[No. Exp]],Tabla6[],5)</f>
        <v>41.145000000000003</v>
      </c>
      <c r="F168" s="40">
        <f>ROUND(Tabla5121314_34[[#This Row],[Horas trabajadas]]*Tabla5121314_34[[#This Row],[Tarifas x Horas]],0)</f>
        <v>7900</v>
      </c>
      <c r="G168" s="40"/>
      <c r="H168" s="95">
        <f>Tabla5121314_34[[#This Row],[A Cobrar]]+Tabla5121314_34[[#This Row],[Bonif]]</f>
        <v>7900</v>
      </c>
      <c r="J168" s="52"/>
      <c r="K168" s="36" cm="1">
        <f t="array" ref="K168">MMULT(Tabla5121314_34[[#This Row],[Tarifas x Horas]],8)*Tabla5121314_34[[#This Row],[Vacaciones]]</f>
        <v>0</v>
      </c>
      <c r="L168" s="40">
        <f>Tabla5121314_34[[#This Row],[Sal. Dev]]-Tabla5121314_34[[#This Row],[Ausencias]]+Tabla5121314_34[[#This Row],[pago x vacaciones]]</f>
        <v>7900</v>
      </c>
      <c r="M168" s="40">
        <f>5%*Tabla5121314_34[[#This Row],[Salario Neto]]</f>
        <v>395</v>
      </c>
      <c r="N168" s="42">
        <v>187.5</v>
      </c>
      <c r="O168" s="74">
        <f>Tabla5121314_34[[#This Row],[Sal. Dev]]-Tabla5121314_34[[#This Row],[Ausencias]]+Tabla5121314_34[[#This Row],[pago x vacaciones]]-Tabla5121314_34[[#This Row],[importe Seg Social]]-Tabla5121314_34[[#This Row],[importe Ing Pers]]</f>
        <v>7317.5</v>
      </c>
    </row>
    <row r="169" spans="1:15" ht="15.9">
      <c r="A169">
        <v>78</v>
      </c>
      <c r="B169" s="40" t="str">
        <f>VLOOKUP(Tabla5121314_34[[#This Row],[No. Exp]],Tabla6[],2)</f>
        <v>Ernesto Roque Portal</v>
      </c>
      <c r="C169" s="33">
        <f>VLOOKUP(Tabla5121314_34[[#This Row],[No. Exp]],Tabla6[],3)</f>
        <v>89021020183</v>
      </c>
      <c r="D169" s="42">
        <f t="shared" si="4"/>
        <v>192</v>
      </c>
      <c r="E169" s="42">
        <f>VLOOKUP(Tabla5121314_34[[#This Row],[No. Exp]],Tabla6[],5)</f>
        <v>41.145000000000003</v>
      </c>
      <c r="F169" s="40">
        <f>ROUND(Tabla5121314_34[[#This Row],[Horas trabajadas]]*Tabla5121314_34[[#This Row],[Tarifas x Horas]],0)</f>
        <v>7900</v>
      </c>
      <c r="G169" s="40"/>
      <c r="H169" s="95">
        <f>Tabla5121314_34[[#This Row],[A Cobrar]]+Tabla5121314_34[[#This Row],[Bonif]]</f>
        <v>7900</v>
      </c>
      <c r="J169" s="52"/>
      <c r="K169" s="36" cm="1">
        <f t="array" ref="K169">MMULT(Tabla5121314_34[[#This Row],[Tarifas x Horas]],8)*Tabla5121314_34[[#This Row],[Vacaciones]]</f>
        <v>0</v>
      </c>
      <c r="L169" s="40">
        <f>Tabla5121314_34[[#This Row],[Sal. Dev]]-Tabla5121314_34[[#This Row],[Ausencias]]+Tabla5121314_34[[#This Row],[pago x vacaciones]]</f>
        <v>7900</v>
      </c>
      <c r="M169" s="40">
        <f>5%*Tabla5121314_34[[#This Row],[Salario Neto]]</f>
        <v>395</v>
      </c>
      <c r="N169" s="42">
        <v>187.5</v>
      </c>
      <c r="O169" s="74">
        <f>Tabla5121314_34[[#This Row],[Sal. Dev]]-Tabla5121314_34[[#This Row],[Ausencias]]+Tabla5121314_34[[#This Row],[pago x vacaciones]]-Tabla5121314_34[[#This Row],[importe Seg Social]]-Tabla5121314_34[[#This Row],[importe Ing Pers]]</f>
        <v>7317.5</v>
      </c>
    </row>
    <row r="170" spans="1:15" ht="15.9">
      <c r="A170">
        <v>79</v>
      </c>
      <c r="B170" s="36" t="str">
        <f>VLOOKUP(Tabla5121314_34[[#This Row],[No. Exp]],Tabla6[],2)</f>
        <v>Rogelio Catá Limonta</v>
      </c>
      <c r="C170" s="36">
        <f>VLOOKUP(Tabla5121314_34[[#This Row],[No. Exp]],Tabla6[],3)</f>
        <v>59021430287</v>
      </c>
      <c r="D170" s="42">
        <f t="shared" si="4"/>
        <v>192</v>
      </c>
      <c r="E170" s="57">
        <f>VLOOKUP(Tabla5121314_34[[#This Row],[No. Exp]],Tabla6[],5)</f>
        <v>41.145000000000003</v>
      </c>
      <c r="F170" s="36">
        <f>ROUND(Tabla5121314_34[[#This Row],[Horas trabajadas]]*Tabla5121314_34[[#This Row],[Tarifas x Horas]],0)</f>
        <v>7900</v>
      </c>
      <c r="H170" s="85">
        <f>Tabla5121314_34[[#This Row],[A Cobrar]]+Tabla5121314_34[[#This Row],[Bonif]]</f>
        <v>7900</v>
      </c>
      <c r="J170" s="52"/>
      <c r="K170" s="36" cm="1">
        <f t="array" ref="K170">MMULT(Tabla5121314_34[[#This Row],[Tarifas x Horas]],8)*Tabla5121314_34[[#This Row],[Vacaciones]]</f>
        <v>0</v>
      </c>
      <c r="L170" s="40">
        <f>Tabla5121314_34[[#This Row],[Sal. Dev]]-Tabla5121314_34[[#This Row],[Ausencias]]+Tabla5121314_34[[#This Row],[pago x vacaciones]]</f>
        <v>7900</v>
      </c>
      <c r="M170" s="40">
        <f>5%*Tabla5121314_34[[#This Row],[Salario Neto]]</f>
        <v>395</v>
      </c>
      <c r="N170" s="42">
        <v>187.5</v>
      </c>
      <c r="O170" s="74">
        <f>Tabla5121314_34[[#This Row],[Sal. Dev]]-Tabla5121314_34[[#This Row],[Ausencias]]+Tabla5121314_34[[#This Row],[pago x vacaciones]]-Tabla5121314_34[[#This Row],[importe Seg Social]]-Tabla5121314_34[[#This Row],[importe Ing Pers]]</f>
        <v>7317.5</v>
      </c>
    </row>
    <row r="171" spans="1:15" ht="15.9">
      <c r="A171">
        <v>80</v>
      </c>
      <c r="B171" s="36" t="str">
        <f>VLOOKUP(Tabla5121314_34[[#This Row],[No. Exp]],Tabla6[],2)</f>
        <v xml:space="preserve">Datney Moreno Romero </v>
      </c>
      <c r="C171" s="36" t="str">
        <f>VLOOKUP(Tabla5121314_34[[#This Row],[No. Exp]],Tabla6[],3)</f>
        <v>771117066071</v>
      </c>
      <c r="D171" s="42">
        <f t="shared" si="4"/>
        <v>192</v>
      </c>
      <c r="E171" s="57">
        <f>VLOOKUP(Tabla5121314_34[[#This Row],[No. Exp]],Tabla6[],5)</f>
        <v>41.145000000000003</v>
      </c>
      <c r="F171" s="36">
        <f>ROUND(Tabla5121314_34[[#This Row],[Horas trabajadas]]*Tabla5121314_34[[#This Row],[Tarifas x Horas]],0)</f>
        <v>7900</v>
      </c>
      <c r="H171" s="85">
        <f>Tabla5121314_34[[#This Row],[A Cobrar]]+Tabla5121314_34[[#This Row],[Bonif]]</f>
        <v>7900</v>
      </c>
      <c r="J171" s="52"/>
      <c r="K171" s="36" cm="1">
        <f t="array" ref="K171">MMULT(Tabla5121314_34[[#This Row],[Tarifas x Horas]],8)*Tabla5121314_34[[#This Row],[Vacaciones]]</f>
        <v>0</v>
      </c>
      <c r="L171" s="40">
        <f>Tabla5121314_34[[#This Row],[Sal. Dev]]-Tabla5121314_34[[#This Row],[Ausencias]]+Tabla5121314_34[[#This Row],[pago x vacaciones]]</f>
        <v>7900</v>
      </c>
      <c r="M171" s="40">
        <f>5%*Tabla5121314_34[[#This Row],[Salario Neto]]</f>
        <v>395</v>
      </c>
      <c r="N171" s="42">
        <v>187.5</v>
      </c>
      <c r="O171" s="74">
        <f>Tabla5121314_34[[#This Row],[Sal. Dev]]-Tabla5121314_34[[#This Row],[Ausencias]]+Tabla5121314_34[[#This Row],[pago x vacaciones]]-Tabla5121314_34[[#This Row],[importe Seg Social]]-Tabla5121314_34[[#This Row],[importe Ing Pers]]</f>
        <v>7317.5</v>
      </c>
    </row>
    <row r="172" spans="1:15" ht="15.9">
      <c r="A172">
        <v>81</v>
      </c>
      <c r="B172" s="36" t="str">
        <f>VLOOKUP(Tabla5121314_34[[#This Row],[No. Exp]],Tabla6[],2)</f>
        <v>Enrique Roque Barreras</v>
      </c>
      <c r="C172" s="36">
        <f>VLOOKUP(Tabla5121314_34[[#This Row],[No. Exp]],Tabla6[],3)</f>
        <v>62071512741</v>
      </c>
      <c r="D172" s="42">
        <f t="shared" si="4"/>
        <v>192</v>
      </c>
      <c r="E172" s="57">
        <f>VLOOKUP(Tabla5121314_34[[#This Row],[No. Exp]],Tabla6[],5)</f>
        <v>41.145000000000003</v>
      </c>
      <c r="F172" s="36">
        <f>ROUND(Tabla5121314_34[[#This Row],[Horas trabajadas]]*Tabla5121314_34[[#This Row],[Tarifas x Horas]],0)</f>
        <v>7900</v>
      </c>
      <c r="H172" s="85">
        <f>Tabla5121314_34[[#This Row],[A Cobrar]]+Tabla5121314_34[[#This Row],[Bonif]]</f>
        <v>7900</v>
      </c>
      <c r="J172" s="52">
        <v>13</v>
      </c>
      <c r="K172" s="36" cm="1">
        <f t="array" ref="K172">MMULT(Tabla5121314_34[[#This Row],[Tarifas x Horas]],8)*Tabla5121314_34[[#This Row],[Vacaciones]]</f>
        <v>4279.08</v>
      </c>
      <c r="L172" s="40">
        <f>Tabla5121314_34[[#This Row],[Sal. Dev]]-Tabla5121314_34[[#This Row],[Ausencias]]+Tabla5121314_34[[#This Row],[pago x vacaciones]]</f>
        <v>12179.08</v>
      </c>
      <c r="M172" s="40">
        <f>5%*Tabla5121314_34[[#This Row],[Salario Neto]]</f>
        <v>608.95400000000006</v>
      </c>
      <c r="N172" s="42">
        <v>187.5</v>
      </c>
      <c r="O172" s="74">
        <f>Tabla5121314_34[[#This Row],[Sal. Dev]]-Tabla5121314_34[[#This Row],[Ausencias]]+Tabla5121314_34[[#This Row],[pago x vacaciones]]-Tabla5121314_34[[#This Row],[importe Seg Social]]-Tabla5121314_34[[#This Row],[importe Ing Pers]]</f>
        <v>11382.626</v>
      </c>
    </row>
    <row r="173" spans="1:15" ht="15.9">
      <c r="A173">
        <v>82</v>
      </c>
      <c r="B173" s="36" t="str">
        <f>VLOOKUP(Tabla5121314_34[[#This Row],[No. Exp]],Tabla6[],2)</f>
        <v>Geiler Vergara del Llano</v>
      </c>
      <c r="C173" s="36">
        <f>VLOOKUP(Tabla5121314_34[[#This Row],[No. Exp]],Tabla6[],3)</f>
        <v>85052425849</v>
      </c>
      <c r="D173" s="42">
        <f t="shared" si="4"/>
        <v>192</v>
      </c>
      <c r="E173" s="57">
        <f>VLOOKUP(Tabla5121314_34[[#This Row],[No. Exp]],Tabla6[],5)</f>
        <v>41.145000000000003</v>
      </c>
      <c r="F173" s="36">
        <f>ROUND(Tabla5121314_34[[#This Row],[Horas trabajadas]]*Tabla5121314_34[[#This Row],[Tarifas x Horas]],0)</f>
        <v>7900</v>
      </c>
      <c r="H173" s="85">
        <f>Tabla5121314_34[[#This Row],[A Cobrar]]+Tabla5121314_34[[#This Row],[Bonif]]</f>
        <v>7900</v>
      </c>
      <c r="J173" s="52"/>
      <c r="K173" s="36" cm="1">
        <f t="array" ref="K173">MMULT(Tabla5121314_34[[#This Row],[Tarifas x Horas]],8)*Tabla5121314_34[[#This Row],[Vacaciones]]</f>
        <v>0</v>
      </c>
      <c r="L173" s="40">
        <f>Tabla5121314_34[[#This Row],[Sal. Dev]]-Tabla5121314_34[[#This Row],[Ausencias]]+Tabla5121314_34[[#This Row],[pago x vacaciones]]</f>
        <v>7900</v>
      </c>
      <c r="M173" s="40">
        <f>5%*Tabla5121314_34[[#This Row],[Salario Neto]]</f>
        <v>395</v>
      </c>
      <c r="N173" s="42">
        <v>187.5</v>
      </c>
      <c r="O173" s="74">
        <f>Tabla5121314_34[[#This Row],[Sal. Dev]]-Tabla5121314_34[[#This Row],[Ausencias]]+Tabla5121314_34[[#This Row],[pago x vacaciones]]-Tabla5121314_34[[#This Row],[importe Seg Social]]-Tabla5121314_34[[#This Row],[importe Ing Pers]]</f>
        <v>7317.5</v>
      </c>
    </row>
    <row r="174" spans="1:15" ht="15.9">
      <c r="A174">
        <v>83</v>
      </c>
      <c r="B174" s="36" t="str">
        <f>VLOOKUP(Tabla5121314_34[[#This Row],[No. Exp]],Tabla6[],2)</f>
        <v>José Manuel Azahares Tejeda</v>
      </c>
      <c r="C174" s="36" t="str">
        <f>VLOOKUP(Tabla5121314_34[[#This Row],[No. Exp]],Tabla6[],3)</f>
        <v>86090125783</v>
      </c>
      <c r="D174" s="42">
        <f t="shared" si="4"/>
        <v>192</v>
      </c>
      <c r="E174" s="57">
        <f>VLOOKUP(Tabla5121314_34[[#This Row],[No. Exp]],Tabla6[],5)</f>
        <v>41.145000000000003</v>
      </c>
      <c r="F174" s="36">
        <f>ROUND(Tabla5121314_34[[#This Row],[Horas trabajadas]]*Tabla5121314_34[[#This Row],[Tarifas x Horas]],0)</f>
        <v>7900</v>
      </c>
      <c r="H174" s="85">
        <f>Tabla5121314_34[[#This Row],[A Cobrar]]+Tabla5121314_34[[#This Row],[Bonif]]</f>
        <v>7900</v>
      </c>
      <c r="J174" s="52"/>
      <c r="K174" s="36" cm="1">
        <f t="array" ref="K174">MMULT(Tabla5121314_34[[#This Row],[Tarifas x Horas]],8)*Tabla5121314_34[[#This Row],[Vacaciones]]</f>
        <v>0</v>
      </c>
      <c r="L174" s="40">
        <f>Tabla5121314_34[[#This Row],[Sal. Dev]]-Tabla5121314_34[[#This Row],[Ausencias]]+Tabla5121314_34[[#This Row],[pago x vacaciones]]</f>
        <v>7900</v>
      </c>
      <c r="M174" s="40">
        <f>5%*Tabla5121314_34[[#This Row],[Salario Neto]]</f>
        <v>395</v>
      </c>
      <c r="N174" s="42">
        <v>187.5</v>
      </c>
      <c r="O174" s="74">
        <f>Tabla5121314_34[[#This Row],[Sal. Dev]]-Tabla5121314_34[[#This Row],[Ausencias]]+Tabla5121314_34[[#This Row],[pago x vacaciones]]-Tabla5121314_34[[#This Row],[importe Seg Social]]-Tabla5121314_34[[#This Row],[importe Ing Pers]]</f>
        <v>7317.5</v>
      </c>
    </row>
    <row r="175" spans="1:15" ht="15.9">
      <c r="A175">
        <v>84</v>
      </c>
      <c r="B175" s="36" t="str">
        <f>VLOOKUP(Tabla5121314_34[[#This Row],[No. Exp]],Tabla6[],2)</f>
        <v xml:space="preserve"> Yensy Del Moral Domínguez</v>
      </c>
      <c r="C175" s="36" t="str">
        <f>VLOOKUP(Tabla5121314_34[[#This Row],[No. Exp]],Tabla6[],3)</f>
        <v>82080307769</v>
      </c>
      <c r="D175" s="42">
        <f t="shared" si="4"/>
        <v>192</v>
      </c>
      <c r="E175" s="57">
        <f>VLOOKUP(Tabla5121314_34[[#This Row],[No. Exp]],Tabla6[],5)</f>
        <v>41.145000000000003</v>
      </c>
      <c r="F175" s="36">
        <f>ROUND(Tabla5121314_34[[#This Row],[Horas trabajadas]]*Tabla5121314_34[[#This Row],[Tarifas x Horas]],0)</f>
        <v>7900</v>
      </c>
      <c r="H175" s="85">
        <f>Tabla5121314_34[[#This Row],[A Cobrar]]+Tabla5121314_34[[#This Row],[Bonif]]</f>
        <v>7900</v>
      </c>
      <c r="J175" s="52"/>
      <c r="K175" s="36" cm="1">
        <f t="array" ref="K175">MMULT(Tabla5121314_34[[#This Row],[Tarifas x Horas]],8)*Tabla5121314_34[[#This Row],[Vacaciones]]</f>
        <v>0</v>
      </c>
      <c r="L175" s="40">
        <f>Tabla5121314_34[[#This Row],[Sal. Dev]]-Tabla5121314_34[[#This Row],[Ausencias]]+Tabla5121314_34[[#This Row],[pago x vacaciones]]</f>
        <v>7900</v>
      </c>
      <c r="M175" s="40">
        <f>5%*Tabla5121314_34[[#This Row],[Salario Neto]]</f>
        <v>395</v>
      </c>
      <c r="N175" s="42">
        <v>187.5</v>
      </c>
      <c r="O175" s="74">
        <f>Tabla5121314_34[[#This Row],[Sal. Dev]]-Tabla5121314_34[[#This Row],[Ausencias]]+Tabla5121314_34[[#This Row],[pago x vacaciones]]-Tabla5121314_34[[#This Row],[importe Seg Social]]-Tabla5121314_34[[#This Row],[importe Ing Pers]]</f>
        <v>7317.5</v>
      </c>
    </row>
    <row r="176" spans="1:15" ht="15.9">
      <c r="A176">
        <v>87</v>
      </c>
      <c r="B176" s="36" t="str">
        <f>VLOOKUP(Tabla5121314_34[[#This Row],[No. Exp]],Tabla6[],2)</f>
        <v>Osvaldo Yasmany Oro Santiesteban</v>
      </c>
      <c r="C176" s="36" t="str">
        <f>VLOOKUP(Tabla5121314_34[[#This Row],[No. Exp]],Tabla6[],3)</f>
        <v>90112141409</v>
      </c>
      <c r="D176" s="42">
        <f t="shared" si="4"/>
        <v>192</v>
      </c>
      <c r="E176" s="57">
        <f>VLOOKUP(Tabla5121314_34[[#This Row],[No. Exp]],Tabla6[],5)</f>
        <v>41.145000000000003</v>
      </c>
      <c r="F176" s="36">
        <f>ROUND(Tabla5121314_34[[#This Row],[Horas trabajadas]]*Tabla5121314_34[[#This Row],[Tarifas x Horas]],0)</f>
        <v>7900</v>
      </c>
      <c r="H176" s="85">
        <f>Tabla5121314_34[[#This Row],[A Cobrar]]+Tabla5121314_34[[#This Row],[Bonif]]</f>
        <v>7900</v>
      </c>
      <c r="J176" s="52"/>
      <c r="K176" s="36" cm="1">
        <f t="array" ref="K176">MMULT(Tabla5121314_34[[#This Row],[Tarifas x Horas]],8)*Tabla5121314_34[[#This Row],[Vacaciones]]</f>
        <v>0</v>
      </c>
      <c r="L176" s="40">
        <f>Tabla5121314_34[[#This Row],[Sal. Dev]]-Tabla5121314_34[[#This Row],[Ausencias]]+Tabla5121314_34[[#This Row],[pago x vacaciones]]</f>
        <v>7900</v>
      </c>
      <c r="M176" s="40">
        <f>5%*Tabla5121314_34[[#This Row],[Salario Neto]]</f>
        <v>395</v>
      </c>
      <c r="N176" s="42">
        <v>187.5</v>
      </c>
      <c r="O176" s="74">
        <f>Tabla5121314_34[[#This Row],[Sal. Dev]]-Tabla5121314_34[[#This Row],[Ausencias]]+Tabla5121314_34[[#This Row],[pago x vacaciones]]-Tabla5121314_34[[#This Row],[importe Seg Social]]-Tabla5121314_34[[#This Row],[importe Ing Pers]]</f>
        <v>7317.5</v>
      </c>
    </row>
    <row r="177" spans="1:15" ht="15.9">
      <c r="A177">
        <v>88</v>
      </c>
      <c r="B177" s="36" t="str">
        <f>VLOOKUP(Tabla5121314_34[[#This Row],[No. Exp]],Tabla6[],2)</f>
        <v>Felix David Del Monte Balbuena</v>
      </c>
      <c r="C177" s="36" t="str">
        <f>VLOOKUP(Tabla5121314_34[[#This Row],[No. Exp]],Tabla6[],3)</f>
        <v>96071809627</v>
      </c>
      <c r="D177" s="42">
        <f t="shared" si="4"/>
        <v>192</v>
      </c>
      <c r="E177" s="57">
        <f>VLOOKUP(Tabla5121314_34[[#This Row],[No. Exp]],Tabla6[],5)</f>
        <v>41.145000000000003</v>
      </c>
      <c r="F177" s="36">
        <f>ROUND(Tabla5121314_34[[#This Row],[Horas trabajadas]]*Tabla5121314_34[[#This Row],[Tarifas x Horas]],0)</f>
        <v>7900</v>
      </c>
      <c r="H177" s="85">
        <f>Tabla5121314_34[[#This Row],[A Cobrar]]+Tabla5121314_34[[#This Row],[Bonif]]</f>
        <v>7900</v>
      </c>
      <c r="J177" s="52"/>
      <c r="K177" s="36" cm="1">
        <f t="array" ref="K177">MMULT(Tabla5121314_34[[#This Row],[Tarifas x Horas]],8)*Tabla5121314_34[[#This Row],[Vacaciones]]</f>
        <v>0</v>
      </c>
      <c r="L177" s="40">
        <f>Tabla5121314_34[[#This Row],[Sal. Dev]]-Tabla5121314_34[[#This Row],[Ausencias]]+Tabla5121314_34[[#This Row],[pago x vacaciones]]</f>
        <v>7900</v>
      </c>
      <c r="M177" s="40">
        <f>5%*Tabla5121314_34[[#This Row],[Salario Neto]]</f>
        <v>395</v>
      </c>
      <c r="N177" s="42">
        <v>187.5</v>
      </c>
      <c r="O177" s="74">
        <f>Tabla5121314_34[[#This Row],[Sal. Dev]]-Tabla5121314_34[[#This Row],[Ausencias]]+Tabla5121314_34[[#This Row],[pago x vacaciones]]-Tabla5121314_34[[#This Row],[importe Seg Social]]-Tabla5121314_34[[#This Row],[importe Ing Pers]]</f>
        <v>7317.5</v>
      </c>
    </row>
    <row r="178" spans="1:15" s="35" customFormat="1" ht="15.9">
      <c r="A178" s="35">
        <v>107</v>
      </c>
      <c r="B178" s="35" t="str">
        <f>VLOOKUP(Tabla5121314_34[[#This Row],[No. Exp]],Tabla6[],2)</f>
        <v>Lester Francisco Armas Dieguez</v>
      </c>
      <c r="C178" s="35" t="str">
        <f>VLOOKUP(Tabla5121314_34[[#This Row],[No. Exp]],Tabla6[],3)</f>
        <v>00120667441</v>
      </c>
      <c r="D178" s="94">
        <v>248</v>
      </c>
      <c r="E178" s="49">
        <f>VLOOKUP(Tabla5121314_34[[#This Row],[No. Exp]],Tabla6[],5)</f>
        <v>41.145000000000003</v>
      </c>
      <c r="F178" s="35">
        <f>ROUND(Tabla5121314_34[[#This Row],[Horas trabajadas]]*Tabla5121314_34[[#This Row],[Tarifas x Horas]],0)</f>
        <v>10204</v>
      </c>
      <c r="H178" s="96">
        <f>Tabla5121314_34[[#This Row],[A Cobrar]]+Tabla5121314_34[[#This Row],[Bonif]]</f>
        <v>10204</v>
      </c>
      <c r="I178" s="72"/>
      <c r="J178" s="59"/>
      <c r="K178" s="35" cm="1">
        <f t="array" ref="K178">MMULT(Tabla5121314_34[[#This Row],[Tarifas x Horas]],8)*Tabla5121314_34[[#This Row],[Vacaciones]]</f>
        <v>0</v>
      </c>
      <c r="L178" s="46">
        <f>Tabla5121314_34[[#This Row],[Sal. Dev]]-Tabla5121314_34[[#This Row],[Ausencias]]+Tabla5121314_34[[#This Row],[pago x vacaciones]]</f>
        <v>10204</v>
      </c>
      <c r="M178" s="35">
        <f>5%*Tabla5121314_34[[#This Row],[Salario Neto]]</f>
        <v>510.20000000000005</v>
      </c>
      <c r="N178" s="49">
        <v>187.5</v>
      </c>
      <c r="O178" s="75">
        <f>Tabla5121314_34[[#This Row],[Sal. Dev]]-Tabla5121314_34[[#This Row],[Ausencias]]+Tabla5121314_34[[#This Row],[pago x vacaciones]]-Tabla5121314_34[[#This Row],[importe Seg Social]]-Tabla5121314_34[[#This Row],[importe Ing Pers]]</f>
        <v>9506.2999999999993</v>
      </c>
    </row>
    <row r="179" spans="1:15">
      <c r="A179" s="36">
        <v>96</v>
      </c>
      <c r="B179" s="36" t="str">
        <f>VLOOKUP(Tabla5121314_34[[#This Row],[No. Exp]],Tabla6[],2)</f>
        <v xml:space="preserve">Eriel Martínez Durán </v>
      </c>
      <c r="C179" s="36">
        <f>VLOOKUP(Tabla5121314_34[[#This Row],[No. Exp]],Tabla6[],3)</f>
        <v>98022608200</v>
      </c>
      <c r="D179" s="57">
        <v>192</v>
      </c>
      <c r="E179" s="42">
        <f>VLOOKUP(Tabla5121314_34[[#This Row],[No. Exp]],Tabla6[],5)</f>
        <v>41.145000000000003</v>
      </c>
      <c r="F179" s="36">
        <f>ROUND(Tabla5121314_34[[#This Row],[Horas trabajadas]]*Tabla5121314_34[[#This Row],[Tarifas x Horas]],0)</f>
        <v>7900</v>
      </c>
      <c r="H179" s="122">
        <f>Tabla5121314_34[[#This Row],[A Cobrar]]+Tabla5121314_34[[#This Row],[Bonif]]</f>
        <v>7900</v>
      </c>
      <c r="I179" s="53"/>
      <c r="K179" s="36" cm="1">
        <f t="array" ref="K179">MMULT(Tabla5121314_34[[#This Row],[Tarifas x Horas]],8)*Tabla5121314_34[[#This Row],[Vacaciones]]</f>
        <v>0</v>
      </c>
      <c r="L179" s="36">
        <f>Tabla5121314_34[[#This Row],[Sal. Dev]]-Tabla5121314_34[[#This Row],[Ausencias]]</f>
        <v>7900</v>
      </c>
      <c r="M179" s="36">
        <f>5%*Tabla5121314_34[[#This Row],[Salario Neto]]</f>
        <v>395</v>
      </c>
      <c r="N179" s="42">
        <v>187.5</v>
      </c>
      <c r="O179" s="36">
        <f>Tabla5121314_34[[#This Row],[Sal. Dev]]-Tabla5121314_34[[#This Row],[Ausencias]]+Tabla5121314_34[[#This Row],[pago x vacaciones]]-Tabla5121314_34[[#This Row],[importe Seg Social]]-Tabla5121314_34[[#This Row],[importe Ing Pers]]</f>
        <v>7317.5</v>
      </c>
    </row>
    <row r="180" spans="1:15">
      <c r="D180" s="57"/>
      <c r="E180" s="42"/>
      <c r="H180" s="122"/>
      <c r="I180" s="53"/>
      <c r="N180" s="42"/>
    </row>
    <row r="181" spans="1:15" ht="18.45">
      <c r="A181" s="453" t="s">
        <v>0</v>
      </c>
      <c r="B181" s="453"/>
      <c r="C181" s="37"/>
      <c r="D181" s="37"/>
      <c r="I181" s="33" t="s">
        <v>1</v>
      </c>
      <c r="J181" s="33" t="s">
        <v>2</v>
      </c>
      <c r="K181" s="127">
        <f>K158</f>
        <v>45901</v>
      </c>
      <c r="L181" s="50" t="s">
        <v>3</v>
      </c>
      <c r="M181" s="127">
        <f>M158</f>
        <v>45930</v>
      </c>
      <c r="N181" s="33"/>
    </row>
    <row r="182" spans="1:15">
      <c r="A182" s="449" t="s">
        <v>4</v>
      </c>
      <c r="B182" s="449"/>
      <c r="C182" s="38" t="str">
        <f>C159</f>
        <v>Amanda Marcano Bahler</v>
      </c>
    </row>
    <row r="183" spans="1:15">
      <c r="A183" s="449" t="s">
        <v>5</v>
      </c>
      <c r="B183" s="449"/>
      <c r="C183" s="39"/>
      <c r="L183" s="85" t="s">
        <v>207</v>
      </c>
      <c r="M183" s="38">
        <v>192</v>
      </c>
    </row>
    <row r="185" spans="1:15" ht="18.45">
      <c r="A185" s="452" t="s">
        <v>7</v>
      </c>
      <c r="B185" s="452"/>
      <c r="C185" s="28" t="s">
        <v>224</v>
      </c>
      <c r="L185" s="449" t="s">
        <v>9</v>
      </c>
      <c r="M185" s="449"/>
    </row>
    <row r="186" spans="1:15" s="34" customFormat="1" ht="29.15">
      <c r="A186" s="87" t="s">
        <v>10</v>
      </c>
      <c r="B186" s="87" t="s">
        <v>11</v>
      </c>
      <c r="C186" s="87" t="s">
        <v>12</v>
      </c>
      <c r="D186" s="90" t="s">
        <v>201</v>
      </c>
      <c r="E186" s="90" t="s">
        <v>200</v>
      </c>
      <c r="F186" s="87" t="s">
        <v>13</v>
      </c>
      <c r="G186" s="87" t="s">
        <v>14</v>
      </c>
      <c r="H186" s="89" t="s">
        <v>15</v>
      </c>
      <c r="I186" s="90" t="s">
        <v>197</v>
      </c>
      <c r="J186" s="89" t="s">
        <v>9</v>
      </c>
      <c r="K186" s="89" t="s">
        <v>16</v>
      </c>
      <c r="L186" s="90" t="s">
        <v>196</v>
      </c>
      <c r="M186" s="88" t="s">
        <v>194</v>
      </c>
      <c r="N186" s="87" t="s">
        <v>195</v>
      </c>
      <c r="O186" s="91" t="s">
        <v>191</v>
      </c>
    </row>
    <row r="187" spans="1:15" ht="15.9">
      <c r="A187">
        <v>85</v>
      </c>
      <c r="B187" s="33" t="str">
        <f>VLOOKUP(Tabla5121314_3459[[#This Row],[No. Exp]],Tabla6[],2)</f>
        <v>Alexis Cabrera Menéndez</v>
      </c>
      <c r="C187" s="33">
        <f>VLOOKUP(Tabla5121314_3459[[#This Row],[No. Exp]],Tabla6[],3)</f>
        <v>74032322600</v>
      </c>
      <c r="D187" s="41">
        <f>M183</f>
        <v>192</v>
      </c>
      <c r="E187" s="41">
        <f>VLOOKUP(Tabla5121314_3459[[#This Row],[No. Exp]],Tabla6[],5)</f>
        <v>40.103999999999999</v>
      </c>
      <c r="F187" s="40">
        <f>ROUND(Tabla5121314_3459[[#This Row],[Horas trabajadas]]*Tabla5121314_3459[[#This Row],[Tarifas x Horas]],0)</f>
        <v>7700</v>
      </c>
      <c r="G187" s="40"/>
      <c r="H187" s="95">
        <f>Tabla5121314_3459[[#This Row],[A Cobrar]]+Tabla5121314_3459[[#This Row],[Bonif]]</f>
        <v>7700</v>
      </c>
      <c r="I187" s="51"/>
      <c r="J187" s="52"/>
      <c r="K187" s="42" cm="1">
        <f t="array" ref="K187">MMULT(Tabla5121314_3459[[#This Row],[Tarifas x Horas]],8)*Tabla5121314_3459[[#This Row],[Vacaciones]]</f>
        <v>0</v>
      </c>
      <c r="L187" s="95">
        <f>Tabla5121314_3459[[#This Row],[Sal. Dev]]-Tabla5121314_3459[[#This Row],[Ausencias]]</f>
        <v>7700</v>
      </c>
      <c r="M187" s="40">
        <f>5%*Tabla5121314_3459[[#This Row],[Salario Neto]]</f>
        <v>385</v>
      </c>
      <c r="N187" s="42">
        <v>187.5</v>
      </c>
      <c r="O187" s="74">
        <f>Tabla5121314_3459[[#This Row],[Sal. Dev]]-Tabla5121314_3459[[#This Row],[Ausencias]]+Tabla5121314_3459[[#This Row],[pago x vacaciones]]-Tabla5121314_3459[[#This Row],[importe Seg Social]]-Tabla5121314_3459[[#This Row],[importe Ing Pers]]</f>
        <v>7127.5</v>
      </c>
    </row>
    <row r="188" spans="1:15" ht="15.9">
      <c r="A188">
        <v>86</v>
      </c>
      <c r="B188" s="40" t="str">
        <f>VLOOKUP(Tabla5121314_3459[[#This Row],[No. Exp]],Tabla6[],2)</f>
        <v>Ariel Cabrera Menéndez</v>
      </c>
      <c r="C188" s="33">
        <f>VLOOKUP(Tabla5121314_3459[[#This Row],[No. Exp]],Tabla6[],3)</f>
        <v>72112711303</v>
      </c>
      <c r="D188" s="41">
        <v>192</v>
      </c>
      <c r="E188" s="42">
        <f>VLOOKUP(Tabla5121314_3459[[#This Row],[No. Exp]],Tabla6[],5)</f>
        <v>40.103999999999999</v>
      </c>
      <c r="F188" s="40">
        <f>ROUND(Tabla5121314_3459[[#This Row],[Horas trabajadas]]*Tabla5121314_3459[[#This Row],[Tarifas x Horas]],0)</f>
        <v>7700</v>
      </c>
      <c r="G188" s="40"/>
      <c r="H188" s="124">
        <f>Tabla5121314_3459[[#This Row],[A Cobrar]]+Tabla5121314_3459[[#This Row],[Bonif]]</f>
        <v>7700</v>
      </c>
      <c r="J188" s="52"/>
      <c r="K188" s="42" cm="1">
        <f t="array" ref="K188">MMULT(Tabla5121314_3459[[#This Row],[Tarifas x Horas]],8)*Tabla5121314_3459[[#This Row],[Vacaciones]]</f>
        <v>0</v>
      </c>
      <c r="L188" s="124">
        <f>Tabla5121314_3459[[#This Row],[Sal. Dev]]-Tabla5121314_3459[[#This Row],[Ausencias]]</f>
        <v>7700</v>
      </c>
      <c r="M188" s="40">
        <f>5%*Tabla5121314_3459[[#This Row],[Salario Neto]]</f>
        <v>385</v>
      </c>
      <c r="N188" s="42">
        <v>187.5</v>
      </c>
      <c r="O188" s="74">
        <f>Tabla5121314_3459[[#This Row],[Sal. Dev]]-Tabla5121314_3459[[#This Row],[Ausencias]]+Tabla5121314_3459[[#This Row],[pago x vacaciones]]-Tabla5121314_3459[[#This Row],[importe Seg Social]]-Tabla5121314_3459[[#This Row],[importe Ing Pers]]</f>
        <v>7127.5</v>
      </c>
    </row>
    <row r="189" spans="1:15" ht="15.9">
      <c r="A189" s="125">
        <v>21</v>
      </c>
      <c r="B189" s="36" t="str">
        <f>VLOOKUP(Tabla5121314_3459[[#This Row],[No. Exp]],Tabla6[],2)</f>
        <v>Raymel Pérez Hernández</v>
      </c>
      <c r="C189" s="36" t="str">
        <f>VLOOKUP(Tabla5121314_3459[[#This Row],[No. Exp]],Tabla6[],3)</f>
        <v>99030806188</v>
      </c>
      <c r="D189" s="41">
        <v>192</v>
      </c>
      <c r="E189" s="42">
        <f>VLOOKUP(Tabla5121314_3459[[#This Row],[No. Exp]],Tabla6[],5)</f>
        <v>40.103999999999999</v>
      </c>
      <c r="F189" s="36">
        <f>ROUND(Tabla5121314_3459[[#This Row],[Horas trabajadas]]*Tabla5121314_3459[[#This Row],[Tarifas x Horas]],0)</f>
        <v>7700</v>
      </c>
      <c r="H189" s="122">
        <f>Tabla5121314_3459[[#This Row],[A Cobrar]]+Tabla5121314_3459[[#This Row],[Bonif]]</f>
        <v>7700</v>
      </c>
      <c r="I189" s="53"/>
      <c r="J189" s="52"/>
      <c r="K189" s="42" cm="1">
        <f t="array" ref="K189">MMULT(Tabla5121314_3459[[#This Row],[Tarifas x Horas]],8)*Tabla5121314_3459[[#This Row],[Vacaciones]]</f>
        <v>0</v>
      </c>
      <c r="L189" s="124">
        <f>Tabla5121314_3459[[#This Row],[Sal. Dev]]-Tabla5121314_3459[[#This Row],[Ausencias]]</f>
        <v>7700</v>
      </c>
      <c r="M189" s="40">
        <f>5%*Tabla5121314_3459[[#This Row],[Salario Neto]]</f>
        <v>385</v>
      </c>
      <c r="N189" s="42">
        <v>187.5</v>
      </c>
      <c r="O189" s="74">
        <f>Tabla5121314_3459[[#This Row],[Sal. Dev]]-Tabla5121314_3459[[#This Row],[Ausencias]]+Tabla5121314_3459[[#This Row],[pago x vacaciones]]-Tabla5121314_3459[[#This Row],[importe Seg Social]]-Tabla5121314_3459[[#This Row],[importe Ing Pers]]</f>
        <v>7127.5</v>
      </c>
    </row>
    <row r="190" spans="1:15" ht="15.9">
      <c r="A190" s="125">
        <v>22</v>
      </c>
      <c r="B190" s="36" t="str">
        <f>VLOOKUP(Tabla5121314_3459[[#This Row],[No. Exp]],Tabla6[],2)</f>
        <v xml:space="preserve">Amaury Acosta Hernández </v>
      </c>
      <c r="C190" s="36">
        <f>VLOOKUP(Tabla5121314_3459[[#This Row],[No. Exp]],Tabla6[],3)</f>
        <v>73111309364</v>
      </c>
      <c r="D190" s="41">
        <v>192</v>
      </c>
      <c r="E190" s="42">
        <f>VLOOKUP(Tabla5121314_3459[[#This Row],[No. Exp]],Tabla6[],5)</f>
        <v>40.103999999999999</v>
      </c>
      <c r="F190" s="36">
        <f>ROUND(Tabla5121314_3459[[#This Row],[Horas trabajadas]]*Tabla5121314_3459[[#This Row],[Tarifas x Horas]],0)</f>
        <v>7700</v>
      </c>
      <c r="H190" s="122">
        <f>Tabla5121314_3459[[#This Row],[A Cobrar]]+Tabla5121314_3459[[#This Row],[Bonif]]</f>
        <v>7700</v>
      </c>
      <c r="I190" s="53"/>
      <c r="J190" s="52"/>
      <c r="K190" s="42" cm="1">
        <f t="array" ref="K190">MMULT(Tabla5121314_3459[[#This Row],[Tarifas x Horas]],8)*Tabla5121314_3459[[#This Row],[Vacaciones]]</f>
        <v>0</v>
      </c>
      <c r="L190" s="124">
        <f>Tabla5121314_3459[[#This Row],[Sal. Dev]]-Tabla5121314_3459[[#This Row],[Ausencias]]</f>
        <v>7700</v>
      </c>
      <c r="M190" s="40">
        <f>5%*Tabla5121314_3459[[#This Row],[Salario Neto]]</f>
        <v>385</v>
      </c>
      <c r="N190" s="42">
        <v>187.5</v>
      </c>
      <c r="O190" s="74">
        <f>Tabla5121314_3459[[#This Row],[Sal. Dev]]-Tabla5121314_3459[[#This Row],[Ausencias]]+Tabla5121314_3459[[#This Row],[pago x vacaciones]]-Tabla5121314_3459[[#This Row],[importe Seg Social]]-Tabla5121314_3459[[#This Row],[importe Ing Pers]]</f>
        <v>7127.5</v>
      </c>
    </row>
    <row r="191" spans="1:15" ht="15.9">
      <c r="A191" s="125">
        <v>23</v>
      </c>
      <c r="B191" s="36" t="str">
        <f>VLOOKUP(Tabla5121314_3459[[#This Row],[No. Exp]],Tabla6[],2)</f>
        <v>Bernardo Alfredo Zamora Sánchez</v>
      </c>
      <c r="C191" s="36">
        <f>VLOOKUP(Tabla5121314_3459[[#This Row],[No. Exp]],Tabla6[],3)</f>
        <v>63082002294</v>
      </c>
      <c r="D191" s="41">
        <v>192</v>
      </c>
      <c r="E191" s="42">
        <f>VLOOKUP(Tabla5121314_3459[[#This Row],[No. Exp]],Tabla6[],5)</f>
        <v>40.103999999999999</v>
      </c>
      <c r="F191" s="36">
        <f>ROUND(Tabla5121314_3459[[#This Row],[Horas trabajadas]]*Tabla5121314_3459[[#This Row],[Tarifas x Horas]],0)</f>
        <v>7700</v>
      </c>
      <c r="H191" s="122">
        <f>Tabla5121314_3459[[#This Row],[A Cobrar]]+Tabla5121314_3459[[#This Row],[Bonif]]</f>
        <v>7700</v>
      </c>
      <c r="I191" s="53"/>
      <c r="J191" s="52"/>
      <c r="K191" s="42" cm="1">
        <f t="array" ref="K191">MMULT(Tabla5121314_3459[[#This Row],[Tarifas x Horas]],8)*Tabla5121314_3459[[#This Row],[Vacaciones]]</f>
        <v>0</v>
      </c>
      <c r="L191" s="124">
        <f>Tabla5121314_3459[[#This Row],[Sal. Dev]]-Tabla5121314_3459[[#This Row],[Ausencias]]</f>
        <v>7700</v>
      </c>
      <c r="M191" s="40">
        <f>5%*Tabla5121314_3459[[#This Row],[Salario Neto]]</f>
        <v>385</v>
      </c>
      <c r="N191" s="42">
        <v>187.5</v>
      </c>
      <c r="O191" s="74">
        <f>Tabla5121314_3459[[#This Row],[Sal. Dev]]-Tabla5121314_3459[[#This Row],[Ausencias]]+Tabla5121314_3459[[#This Row],[pago x vacaciones]]-Tabla5121314_3459[[#This Row],[importe Seg Social]]-Tabla5121314_3459[[#This Row],[importe Ing Pers]]</f>
        <v>7127.5</v>
      </c>
    </row>
    <row r="192" spans="1:15" ht="15.9">
      <c r="A192" s="125">
        <v>24</v>
      </c>
      <c r="B192" s="36" t="str">
        <f>VLOOKUP(Tabla5121314_3459[[#This Row],[No. Exp]],Tabla6[],2)</f>
        <v xml:space="preserve">José Zorrilla Aguilar </v>
      </c>
      <c r="C192" s="36">
        <f>VLOOKUP(Tabla5121314_3459[[#This Row],[No. Exp]],Tabla6[],3)</f>
        <v>57082706245</v>
      </c>
      <c r="D192" s="41">
        <v>192</v>
      </c>
      <c r="E192" s="42">
        <f>VLOOKUP(Tabla5121314_3459[[#This Row],[No. Exp]],Tabla6[],5)</f>
        <v>40.103999999999999</v>
      </c>
      <c r="F192" s="36">
        <f>ROUND(Tabla5121314_3459[[#This Row],[Horas trabajadas]]*Tabla5121314_3459[[#This Row],[Tarifas x Horas]],0)</f>
        <v>7700</v>
      </c>
      <c r="H192" s="122">
        <f>Tabla5121314_3459[[#This Row],[A Cobrar]]+Tabla5121314_3459[[#This Row],[Bonif]]</f>
        <v>7700</v>
      </c>
      <c r="I192" s="53"/>
      <c r="J192" s="52"/>
      <c r="K192" s="42" cm="1">
        <f t="array" ref="K192">MMULT(Tabla5121314_3459[[#This Row],[Tarifas x Horas]],8)*Tabla5121314_3459[[#This Row],[Vacaciones]]</f>
        <v>0</v>
      </c>
      <c r="L192" s="124">
        <f>Tabla5121314_3459[[#This Row],[Sal. Dev]]-Tabla5121314_3459[[#This Row],[Ausencias]]</f>
        <v>7700</v>
      </c>
      <c r="M192" s="40">
        <f>5%*Tabla5121314_3459[[#This Row],[Salario Neto]]</f>
        <v>385</v>
      </c>
      <c r="N192" s="42">
        <v>187.5</v>
      </c>
      <c r="O192" s="74">
        <f>Tabla5121314_3459[[#This Row],[Sal. Dev]]-Tabla5121314_3459[[#This Row],[Ausencias]]+Tabla5121314_3459[[#This Row],[pago x vacaciones]]-Tabla5121314_3459[[#This Row],[importe Seg Social]]-Tabla5121314_3459[[#This Row],[importe Ing Pers]]</f>
        <v>7127.5</v>
      </c>
    </row>
    <row r="193" spans="1:34" ht="15.9">
      <c r="D193" s="41"/>
      <c r="E193" s="42"/>
      <c r="H193" s="122"/>
      <c r="I193" s="53"/>
      <c r="J193" s="52"/>
      <c r="K193" s="42"/>
      <c r="L193" s="124"/>
      <c r="M193" s="40"/>
      <c r="N193" s="42"/>
      <c r="O193" s="74"/>
    </row>
    <row r="194" spans="1:34" ht="15.9">
      <c r="D194" s="41"/>
      <c r="E194" s="42"/>
      <c r="H194" s="122"/>
      <c r="I194" s="53"/>
      <c r="J194" s="52"/>
      <c r="K194" s="42"/>
      <c r="L194" s="124"/>
      <c r="M194" s="40"/>
      <c r="N194" s="42"/>
      <c r="O194" s="74"/>
    </row>
    <row r="195" spans="1:34">
      <c r="B195"/>
      <c r="E195" s="42"/>
      <c r="F195" s="57"/>
      <c r="I195" s="53"/>
    </row>
    <row r="196" spans="1:34" ht="18.45">
      <c r="A196" s="453" t="s">
        <v>0</v>
      </c>
      <c r="B196" s="453"/>
      <c r="C196" s="37"/>
      <c r="D196" s="37"/>
      <c r="I196" s="33" t="s">
        <v>1</v>
      </c>
      <c r="J196" s="33" t="s">
        <v>2</v>
      </c>
      <c r="K196" s="127">
        <f>K181</f>
        <v>45901</v>
      </c>
      <c r="L196" s="50" t="s">
        <v>3</v>
      </c>
      <c r="M196" s="127">
        <f>M181</f>
        <v>45930</v>
      </c>
      <c r="N196" s="33"/>
    </row>
    <row r="197" spans="1:34">
      <c r="A197" s="449" t="s">
        <v>4</v>
      </c>
      <c r="B197" s="449"/>
      <c r="C197" s="38" t="str">
        <f>C182</f>
        <v>Amanda Marcano Bahler</v>
      </c>
    </row>
    <row r="198" spans="1:34">
      <c r="A198" s="449" t="s">
        <v>5</v>
      </c>
      <c r="B198" s="449"/>
      <c r="C198" s="39"/>
      <c r="L198" s="36" t="str">
        <f>L160</f>
        <v>horas</v>
      </c>
      <c r="M198" s="38">
        <f>M160</f>
        <v>192</v>
      </c>
    </row>
    <row r="200" spans="1:34" s="24" customFormat="1" ht="18.45">
      <c r="A200" s="86" t="s">
        <v>7</v>
      </c>
      <c r="B200" s="86"/>
      <c r="C200" s="28" t="s">
        <v>23</v>
      </c>
      <c r="D200" s="36"/>
      <c r="E200" s="36"/>
      <c r="F200" s="36"/>
      <c r="G200" s="36"/>
      <c r="H200" s="36"/>
      <c r="I200" s="36"/>
      <c r="J200" s="36"/>
      <c r="K200" s="36"/>
      <c r="L200" s="450" t="s">
        <v>9</v>
      </c>
      <c r="M200" s="450"/>
      <c r="N200" s="36"/>
      <c r="O200" s="36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36"/>
      <c r="AG200" s="36"/>
      <c r="AH200" s="128"/>
    </row>
    <row r="201" spans="1:34" s="34" customFormat="1" ht="29.15">
      <c r="A201" s="87" t="s">
        <v>10</v>
      </c>
      <c r="B201" s="87" t="s">
        <v>11</v>
      </c>
      <c r="C201" s="87" t="s">
        <v>12</v>
      </c>
      <c r="D201" s="90" t="s">
        <v>201</v>
      </c>
      <c r="E201" s="90" t="s">
        <v>200</v>
      </c>
      <c r="F201" s="87" t="s">
        <v>13</v>
      </c>
      <c r="G201" s="87" t="s">
        <v>14</v>
      </c>
      <c r="H201" s="89" t="s">
        <v>15</v>
      </c>
      <c r="I201" s="90" t="s">
        <v>197</v>
      </c>
      <c r="J201" s="89" t="s">
        <v>9</v>
      </c>
      <c r="K201" s="89" t="s">
        <v>16</v>
      </c>
      <c r="L201" s="90" t="s">
        <v>196</v>
      </c>
      <c r="M201" s="88" t="s">
        <v>194</v>
      </c>
      <c r="N201" s="87" t="s">
        <v>195</v>
      </c>
      <c r="O201" s="114" t="s">
        <v>191</v>
      </c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36"/>
      <c r="AG201" s="36"/>
    </row>
    <row r="202" spans="1:34" ht="15.9">
      <c r="A202" s="1">
        <v>89</v>
      </c>
      <c r="B202" s="44" t="str">
        <f>VLOOKUP(Tabla5121314_345[[#This Row],[No. Exp]],Tabla6[],2)</f>
        <v>Yendida Soler Cortina</v>
      </c>
      <c r="C202" s="44">
        <f>VLOOKUP(Tabla5121314_345[[#This Row],[No. Exp]],Tabla6[],3)</f>
        <v>80032124193</v>
      </c>
      <c r="D202" s="60">
        <f>M198</f>
        <v>192</v>
      </c>
      <c r="E202" s="60">
        <f>VLOOKUP(Tabla5121314_345[[#This Row],[No. Exp]],Tabla6[],5)</f>
        <v>39.06</v>
      </c>
      <c r="F202" s="43">
        <f>ROUND(Tabla5121314_345[[#This Row],[Horas trabajadas]]*Tabla5121314_345[[#This Row],[Tarifas x Horas]],0)</f>
        <v>7500</v>
      </c>
      <c r="G202" s="43"/>
      <c r="H202" s="98">
        <f>Tabla5121314_345[[#This Row],[A Cobrar]]+Tabla5121314_345[[#This Row],[Bonif]]</f>
        <v>7500</v>
      </c>
      <c r="I202" s="54"/>
      <c r="J202" s="100">
        <v>22.52</v>
      </c>
      <c r="K202" s="116" cm="1">
        <f t="array" ref="K202">MMULT(Tabla5121314_345[[#This Row],[Tarifas x Horas]],8)*Tabla5121314_345[[#This Row],[Vacaciones]]</f>
        <v>7037.0496000000003</v>
      </c>
      <c r="L202" s="98">
        <f>Tabla5121314_345[[#This Row],[Sal. Dev]]-Tabla5121314_345[[#This Row],[Ausencias]]</f>
        <v>7500</v>
      </c>
      <c r="M202" s="43">
        <f>5%*Tabla5121314_345[[#This Row],[Salario Neto]]</f>
        <v>375</v>
      </c>
      <c r="N202" s="76">
        <v>187.5</v>
      </c>
      <c r="O202" s="77">
        <f>Tabla5121314_345[[#This Row],[Sal. Dev]]-Tabla5121314_345[[#This Row],[Ausencias]]+Tabla5121314_345[[#This Row],[pago x vacaciones]]-Tabla5121314_345[[#This Row],[importe Seg Social]]-Tabla5121314_345[[#This Row],[importe Ing Pers]]</f>
        <v>13974.5496</v>
      </c>
    </row>
    <row r="209" spans="2:3">
      <c r="B209" s="93" t="s">
        <v>210</v>
      </c>
    </row>
    <row r="210" spans="2:3">
      <c r="B210" s="448"/>
      <c r="C210" s="448"/>
    </row>
  </sheetData>
  <mergeCells count="43">
    <mergeCell ref="A181:B181"/>
    <mergeCell ref="A182:B182"/>
    <mergeCell ref="A183:B183"/>
    <mergeCell ref="A185:B185"/>
    <mergeCell ref="L185:M185"/>
    <mergeCell ref="A72:B72"/>
    <mergeCell ref="A73:B73"/>
    <mergeCell ref="A75:B75"/>
    <mergeCell ref="A5:B5"/>
    <mergeCell ref="A6:B6"/>
    <mergeCell ref="A7:B7"/>
    <mergeCell ref="A9:B9"/>
    <mergeCell ref="A71:B71"/>
    <mergeCell ref="L9:M9"/>
    <mergeCell ref="A38:B38"/>
    <mergeCell ref="A39:B39"/>
    <mergeCell ref="A40:B40"/>
    <mergeCell ref="A41:B41"/>
    <mergeCell ref="L41:M41"/>
    <mergeCell ref="L75:M75"/>
    <mergeCell ref="A102:B102"/>
    <mergeCell ref="A103:B103"/>
    <mergeCell ref="A104:B104"/>
    <mergeCell ref="A106:B106"/>
    <mergeCell ref="L106:M106"/>
    <mergeCell ref="B98:C98"/>
    <mergeCell ref="B99:C99"/>
    <mergeCell ref="B210:C210"/>
    <mergeCell ref="A197:B197"/>
    <mergeCell ref="A198:B198"/>
    <mergeCell ref="L200:M200"/>
    <mergeCell ref="B122:C122"/>
    <mergeCell ref="B154:C155"/>
    <mergeCell ref="A159:B159"/>
    <mergeCell ref="A160:B160"/>
    <mergeCell ref="A162:B162"/>
    <mergeCell ref="L162:M162"/>
    <mergeCell ref="A196:B196"/>
    <mergeCell ref="A127:B127"/>
    <mergeCell ref="A128:B128"/>
    <mergeCell ref="A130:B130"/>
    <mergeCell ref="L130:M130"/>
    <mergeCell ref="A158:B158"/>
  </mergeCells>
  <pageMargins left="0.7" right="0.7" top="0.75" bottom="0.75" header="0.3" footer="0.3"/>
  <pageSetup paperSize="125" scale="46" orientation="landscape" errors="blank" r:id="rId1"/>
  <headerFooter>
    <oddHeader>&amp;R&amp;P de &amp;N paginas</oddHeader>
  </headerFooter>
  <rowBreaks count="5" manualBreakCount="5">
    <brk id="36" max="14" man="1"/>
    <brk id="70" max="14" man="1"/>
    <brk id="100" max="14" man="1"/>
    <brk id="124" max="14" man="1"/>
    <brk id="156" max="14" man="1"/>
  </rowBreaks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21B0-6D8A-4499-A005-DA640AD12502}">
  <dimension ref="A1:AH233"/>
  <sheetViews>
    <sheetView showZeros="0" view="pageBreakPreview" topLeftCell="A182" zoomScale="32" zoomScaleNormal="77" zoomScaleSheetLayoutView="32" workbookViewId="0">
      <selection activeCell="O199" sqref="O199"/>
    </sheetView>
  </sheetViews>
  <sheetFormatPr baseColWidth="10" defaultColWidth="8.84375" defaultRowHeight="26.15"/>
  <cols>
    <col min="1" max="1" width="14.4609375" style="140" customWidth="1"/>
    <col min="2" max="2" width="81.765625" style="140" customWidth="1"/>
    <col min="3" max="3" width="71.3828125" style="140" customWidth="1"/>
    <col min="4" max="4" width="30.23046875" style="140" customWidth="1"/>
    <col min="5" max="5" width="38.84375" style="140" customWidth="1"/>
    <col min="6" max="6" width="28.53515625" style="140" customWidth="1"/>
    <col min="7" max="7" width="16.07421875" style="140" customWidth="1"/>
    <col min="8" max="8" width="32.07421875" style="140" customWidth="1"/>
    <col min="9" max="9" width="18.23046875" style="140" customWidth="1"/>
    <col min="10" max="10" width="20.84375" style="140" customWidth="1"/>
    <col min="11" max="11" width="34.23046875" style="140" customWidth="1"/>
    <col min="12" max="12" width="33.921875" style="140" customWidth="1"/>
    <col min="13" max="14" width="35.69140625" style="140" customWidth="1"/>
    <col min="15" max="15" width="30.84375" style="140" customWidth="1"/>
    <col min="16" max="16" width="57.23046875" style="140" customWidth="1"/>
    <col min="17" max="16384" width="8.84375" style="140"/>
  </cols>
  <sheetData>
    <row r="1" spans="1:29" ht="1.5" customHeight="1"/>
    <row r="2" spans="1:29" ht="9" hidden="1" customHeight="1"/>
    <row r="3" spans="1:29" hidden="1"/>
    <row r="4" spans="1:29" ht="37.5" hidden="1" customHeight="1"/>
    <row r="5" spans="1:29" ht="46.3">
      <c r="A5" s="461" t="s">
        <v>0</v>
      </c>
      <c r="B5" s="461"/>
      <c r="C5" s="143"/>
      <c r="D5" s="143"/>
      <c r="I5" s="166" t="s">
        <v>1</v>
      </c>
      <c r="J5" s="166" t="s">
        <v>2</v>
      </c>
      <c r="K5" s="177">
        <f>K24</f>
        <v>45901</v>
      </c>
      <c r="L5" s="178" t="s">
        <v>3</v>
      </c>
      <c r="M5" s="177">
        <f>M24</f>
        <v>45930</v>
      </c>
      <c r="N5" s="141"/>
    </row>
    <row r="6" spans="1:29" ht="28.3">
      <c r="A6" s="462" t="s">
        <v>4</v>
      </c>
      <c r="B6" s="462"/>
      <c r="C6" s="175" t="s">
        <v>223</v>
      </c>
      <c r="I6" s="163"/>
      <c r="J6" s="163"/>
      <c r="K6" s="163"/>
      <c r="L6" s="163"/>
      <c r="M6" s="163"/>
    </row>
    <row r="7" spans="1:29" ht="28.3">
      <c r="A7" s="462" t="s">
        <v>5</v>
      </c>
      <c r="B7" s="462"/>
      <c r="C7" s="176"/>
      <c r="I7" s="163"/>
      <c r="J7" s="163"/>
      <c r="K7" s="163"/>
      <c r="L7" s="163" t="s">
        <v>6</v>
      </c>
      <c r="M7" s="175">
        <v>192</v>
      </c>
    </row>
    <row r="9" spans="1:29" ht="30.9">
      <c r="A9" s="463" t="s">
        <v>7</v>
      </c>
      <c r="B9" s="463"/>
      <c r="C9" s="165" t="s">
        <v>8</v>
      </c>
      <c r="L9" s="458"/>
      <c r="M9" s="458"/>
    </row>
    <row r="10" spans="1:29" s="147" customFormat="1" ht="71.150000000000006" customHeight="1">
      <c r="A10" s="179" t="s">
        <v>10</v>
      </c>
      <c r="B10" s="179" t="s">
        <v>11</v>
      </c>
      <c r="C10" s="179" t="s">
        <v>12</v>
      </c>
      <c r="D10" s="179" t="s">
        <v>198</v>
      </c>
      <c r="E10" s="179" t="s">
        <v>192</v>
      </c>
      <c r="F10" s="179" t="s">
        <v>189</v>
      </c>
      <c r="G10" s="179" t="s">
        <v>14</v>
      </c>
      <c r="H10" s="179" t="s">
        <v>15</v>
      </c>
      <c r="I10" s="179" t="s">
        <v>197</v>
      </c>
      <c r="J10" s="179" t="s">
        <v>9</v>
      </c>
      <c r="K10" s="179" t="s">
        <v>16</v>
      </c>
      <c r="L10" s="179" t="s">
        <v>196</v>
      </c>
      <c r="M10" s="179" t="s">
        <v>194</v>
      </c>
      <c r="N10" s="179" t="s">
        <v>240</v>
      </c>
      <c r="O10" s="179" t="s">
        <v>241</v>
      </c>
      <c r="P10" s="179" t="s">
        <v>191</v>
      </c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6"/>
    </row>
    <row r="11" spans="1:29" s="141" customFormat="1" ht="61.3" customHeight="1">
      <c r="A11" s="211">
        <v>1</v>
      </c>
      <c r="B11" s="225" t="str">
        <f>VLOOKUP(Tabla52[[#This Row],[No. Exp]],Tabla6[],2)</f>
        <v xml:space="preserve">Michel García Izquierdo </v>
      </c>
      <c r="C11" s="212">
        <f>VLOOKUP(Tabla52[[#This Row],[No. Exp]],Tabla6[],3)</f>
        <v>87032201867</v>
      </c>
      <c r="D11" s="226">
        <f>M7</f>
        <v>192</v>
      </c>
      <c r="E11" s="226">
        <f>VLOOKUP(Tabla52[[#This Row],[No. Exp]],Tabla6[],5)</f>
        <v>46.875</v>
      </c>
      <c r="F11" s="207">
        <f>ROUND(Tabla52[[#This Row],[Horas Trabajadas]]*Tabla52[[#This Row],[Tarifas por Horas]],0)</f>
        <v>9000</v>
      </c>
      <c r="G11" s="207"/>
      <c r="H11" s="208">
        <f>Tabla52[[#This Row],[Salario Básico]]+Tabla52[[#This Row],[Bonif]]</f>
        <v>9000</v>
      </c>
      <c r="I11" s="208"/>
      <c r="J11" s="209">
        <v>15</v>
      </c>
      <c r="K11" s="207">
        <f>Tabla52[[#This Row],[Sal. Dev]]/24*Tabla52[[#This Row],[Vacaciones]]</f>
        <v>5625</v>
      </c>
      <c r="L11" s="207">
        <f>Tabla52[[#This Row],[Sal. Dev]]-Tabla52[[#This Row],[Ausencias]]+Tabla52[[#This Row],[pago x vacaciones]]</f>
        <v>14625</v>
      </c>
      <c r="M11" s="207">
        <f>5%*Tabla52[[#This Row],[Salario Neto]]</f>
        <v>731.25</v>
      </c>
      <c r="N11" s="206">
        <f>(9510-3260)*3%</f>
        <v>187.5</v>
      </c>
      <c r="O11" s="206">
        <f>(Tabla52[[#This Row],[Salario Neto]]-9510)*5%</f>
        <v>255.75</v>
      </c>
      <c r="P11" s="347">
        <f>Tabla52[[#This Row],[Sal. Dev]]-Tabla52[[#This Row],[Ausencias]]+Tabla52[[#This Row],[pago x vacaciones]]-Tabla52[[#This Row],[importe Seg Social]]-Tabla52[[#This Row],[Imp. Sobr. Ing. Per 3% (3260.00-9510.00)]]-Tabla52[[#This Row],[Imp. Sobr. Ing. Per 5% (9510.00-15000.00)]]</f>
        <v>13450.5</v>
      </c>
      <c r="Q11" s="148"/>
    </row>
    <row r="12" spans="1:29" ht="65.150000000000006" customHeight="1">
      <c r="A12" s="211">
        <v>2</v>
      </c>
      <c r="B12" s="205" t="str">
        <f>VLOOKUP(Tabla52[[#This Row],[No. Exp]],Tabla6[],2)</f>
        <v>Mabel Molina Fajardo</v>
      </c>
      <c r="C12" s="212">
        <f>VLOOKUP(Tabla52[[#This Row],[No. Exp]],Tabla6[],3)</f>
        <v>84100406736</v>
      </c>
      <c r="D12" s="206">
        <f>D11</f>
        <v>192</v>
      </c>
      <c r="E12" s="206">
        <f>VLOOKUP(Tabla52[[#This Row],[No. Exp]],Tabla6[],5)</f>
        <v>46.875</v>
      </c>
      <c r="F12" s="207">
        <f>ROUND(Tabla52[[#This Row],[Horas Trabajadas]]*Tabla52[[#This Row],[Tarifas por Horas]],0)</f>
        <v>9000</v>
      </c>
      <c r="G12" s="207"/>
      <c r="H12" s="208">
        <f>Tabla52[[#This Row],[Salario Básico]]+Tabla52[[#This Row],[Bonif]]</f>
        <v>9000</v>
      </c>
      <c r="I12" s="208">
        <f>E8</f>
        <v>0</v>
      </c>
      <c r="J12" s="209"/>
      <c r="K12" s="207">
        <f>Tabla52[[#This Row],[Sal. Dev]]/24*Tabla52[[#This Row],[Vacaciones]]</f>
        <v>0</v>
      </c>
      <c r="L12" s="207">
        <f>Tabla52[[#This Row],[Sal. Dev]]-Tabla52[[#This Row],[Ausencias]]+Tabla52[[#This Row],[pago x vacaciones]]</f>
        <v>9000</v>
      </c>
      <c r="M12" s="207">
        <f>5%*Tabla52[[#This Row],[Salario Neto]]</f>
        <v>450</v>
      </c>
      <c r="N12" s="206">
        <f t="shared" ref="N12:N16" si="0">(9510-3260)*3%</f>
        <v>187.5</v>
      </c>
      <c r="O12" s="206"/>
      <c r="P12" s="347">
        <f>Tabla52[[#This Row],[Sal. Dev]]-Tabla52[[#This Row],[Ausencias]]+Tabla52[[#This Row],[pago x vacaciones]]-Tabla52[[#This Row],[importe Seg Social]]-Tabla52[[#This Row],[Imp. Sobr. Ing. Per 3% (3260.00-9510.00)]]-Tabla52[[#This Row],[Imp. Sobr. Ing. Per 5% (9510.00-15000.00)]]</f>
        <v>8362.5</v>
      </c>
    </row>
    <row r="13" spans="1:29" ht="69" customHeight="1">
      <c r="A13" s="211">
        <v>3</v>
      </c>
      <c r="B13" s="205" t="str">
        <f>VLOOKUP(Tabla52[[#This Row],[No. Exp]],Tabla6[],2)</f>
        <v>Yanet González Rodríguez</v>
      </c>
      <c r="C13" s="212">
        <f>VLOOKUP(Tabla52[[#This Row],[No. Exp]],Tabla6[],3)</f>
        <v>90081132492</v>
      </c>
      <c r="D13" s="206">
        <f t="shared" ref="D13:D16" si="1">D12</f>
        <v>192</v>
      </c>
      <c r="E13" s="206">
        <f>VLOOKUP(Tabla52[[#This Row],[No. Exp]],Tabla6[],5)</f>
        <v>46.875</v>
      </c>
      <c r="F13" s="207">
        <f>ROUND(Tabla52[[#This Row],[Horas Trabajadas]]*Tabla52[[#This Row],[Tarifas por Horas]],0)</f>
        <v>9000</v>
      </c>
      <c r="G13" s="207"/>
      <c r="H13" s="208">
        <f>Tabla52[[#This Row],[Salario Básico]]+Tabla52[[#This Row],[Bonif]]</f>
        <v>9000</v>
      </c>
      <c r="I13" s="289">
        <f>E9</f>
        <v>0</v>
      </c>
      <c r="J13" s="209">
        <v>10</v>
      </c>
      <c r="K13" s="207">
        <f>Tabla52[[#This Row],[Sal. Dev]]/24*Tabla52[[#This Row],[Vacaciones]]</f>
        <v>3750</v>
      </c>
      <c r="L13" s="207">
        <f>Tabla52[[#This Row],[Sal. Dev]]-Tabla52[[#This Row],[Ausencias]]+Tabla52[[#This Row],[pago x vacaciones]]</f>
        <v>12750</v>
      </c>
      <c r="M13" s="207">
        <f>5%*Tabla52[[#This Row],[Salario Neto]]</f>
        <v>637.5</v>
      </c>
      <c r="N13" s="206">
        <f t="shared" si="0"/>
        <v>187.5</v>
      </c>
      <c r="O13" s="206">
        <f>(Tabla52[[#This Row],[Salario Neto]]-9510)*5%</f>
        <v>162</v>
      </c>
      <c r="P13" s="347">
        <f>Tabla52[[#This Row],[Sal. Dev]]-Tabla52[[#This Row],[Ausencias]]+Tabla52[[#This Row],[pago x vacaciones]]-Tabla52[[#This Row],[importe Seg Social]]-Tabla52[[#This Row],[Imp. Sobr. Ing. Per 3% (3260.00-9510.00)]]-Tabla52[[#This Row],[Imp. Sobr. Ing. Per 5% (9510.00-15000.00)]]</f>
        <v>11763</v>
      </c>
    </row>
    <row r="14" spans="1:29" ht="68.150000000000006" customHeight="1">
      <c r="A14" s="211">
        <v>4</v>
      </c>
      <c r="B14" s="205" t="str">
        <f>VLOOKUP(Tabla52[[#This Row],[No. Exp]],Tabla6[],2)</f>
        <v>Patricia San Gabino Delgado</v>
      </c>
      <c r="C14" s="212">
        <f>VLOOKUP(Tabla52[[#This Row],[No. Exp]],Tabla6[],3)</f>
        <v>90022032253</v>
      </c>
      <c r="D14" s="206">
        <f t="shared" si="1"/>
        <v>192</v>
      </c>
      <c r="E14" s="206">
        <f>VLOOKUP(Tabla52[[#This Row],[No. Exp]],Tabla6[],5)</f>
        <v>46.875</v>
      </c>
      <c r="F14" s="207">
        <f>ROUND(Tabla52[[#This Row],[Horas Trabajadas]]*Tabla52[[#This Row],[Tarifas por Horas]],0)</f>
        <v>9000</v>
      </c>
      <c r="G14" s="207"/>
      <c r="H14" s="208">
        <f>Tabla52[[#This Row],[Salario Básico]]+Tabla52[[#This Row],[Bonif]]</f>
        <v>9000</v>
      </c>
      <c r="I14" s="289"/>
      <c r="J14" s="209"/>
      <c r="K14" s="207">
        <f>Tabla52[[#This Row],[Sal. Dev]]/24*Tabla52[[#This Row],[Vacaciones]]</f>
        <v>0</v>
      </c>
      <c r="L14" s="207">
        <f>Tabla52[[#This Row],[Sal. Dev]]-Tabla52[[#This Row],[Ausencias]]+Tabla52[[#This Row],[pago x vacaciones]]</f>
        <v>9000</v>
      </c>
      <c r="M14" s="207">
        <f>5%*Tabla52[[#This Row],[Salario Neto]]</f>
        <v>450</v>
      </c>
      <c r="N14" s="206">
        <f t="shared" si="0"/>
        <v>187.5</v>
      </c>
      <c r="O14" s="206"/>
      <c r="P14" s="347">
        <f>Tabla52[[#This Row],[Sal. Dev]]-Tabla52[[#This Row],[Ausencias]]+Tabla52[[#This Row],[pago x vacaciones]]-Tabla52[[#This Row],[importe Seg Social]]-Tabla52[[#This Row],[Imp. Sobr. Ing. Per 3% (3260.00-9510.00)]]-Tabla52[[#This Row],[Imp. Sobr. Ing. Per 5% (9510.00-15000.00)]]</f>
        <v>8362.5</v>
      </c>
    </row>
    <row r="15" spans="1:29" ht="85.75" customHeight="1">
      <c r="A15" s="211">
        <v>6</v>
      </c>
      <c r="B15" s="205" t="str">
        <f>VLOOKUP(Tabla52[[#This Row],[No. Exp]],Tabla6[],2)</f>
        <v>Amanda Miguel Marcano Bahler</v>
      </c>
      <c r="C15" s="212" t="str">
        <f>VLOOKUP(Tabla52[[#This Row],[No. Exp]],Tabla6[],3)</f>
        <v>00122868475</v>
      </c>
      <c r="D15" s="206">
        <f t="shared" si="1"/>
        <v>192</v>
      </c>
      <c r="E15" s="206">
        <f>VLOOKUP(Tabla52[[#This Row],[No. Exp]],Tabla6[],5)</f>
        <v>46.875</v>
      </c>
      <c r="F15" s="207">
        <f>ROUND(Tabla52[[#This Row],[Horas Trabajadas]]*Tabla52[[#This Row],[Tarifas por Horas]],0)</f>
        <v>9000</v>
      </c>
      <c r="G15" s="207"/>
      <c r="H15" s="208">
        <f>Tabla52[[#This Row],[Salario Básico]]+Tabla52[[#This Row],[Bonif]]</f>
        <v>9000</v>
      </c>
      <c r="I15" s="289"/>
      <c r="J15" s="209"/>
      <c r="K15" s="207">
        <f>Tabla52[[#This Row],[Sal. Dev]]/24*Tabla52[[#This Row],[Vacaciones]]</f>
        <v>0</v>
      </c>
      <c r="L15" s="207">
        <f>Tabla52[[#This Row],[Sal. Dev]]-Tabla52[[#This Row],[Ausencias]]+Tabla52[[#This Row],[pago x vacaciones]]</f>
        <v>9000</v>
      </c>
      <c r="M15" s="207">
        <f>5%*Tabla52[[#This Row],[Salario Neto]]</f>
        <v>450</v>
      </c>
      <c r="N15" s="206">
        <f t="shared" si="0"/>
        <v>187.5</v>
      </c>
      <c r="O15" s="206"/>
      <c r="P15" s="347">
        <f>Tabla52[[#This Row],[Sal. Dev]]-Tabla52[[#This Row],[Ausencias]]+Tabla52[[#This Row],[pago x vacaciones]]-Tabla52[[#This Row],[importe Seg Social]]-Tabla52[[#This Row],[Imp. Sobr. Ing. Per 3% (3260.00-9510.00)]]-Tabla52[[#This Row],[Imp. Sobr. Ing. Per 5% (9510.00-15000.00)]]</f>
        <v>8362.5</v>
      </c>
    </row>
    <row r="16" spans="1:29" ht="85.3" customHeight="1">
      <c r="A16" s="211">
        <v>8</v>
      </c>
      <c r="B16" s="205" t="str">
        <f>VLOOKUP(Tabla52[[#This Row],[No. Exp]],Tabla6[],2)</f>
        <v>Carlos Alberto García Lorente</v>
      </c>
      <c r="C16" s="212">
        <f>VLOOKUP(Tabla52[[#This Row],[No. Exp]],Tabla6[],3)</f>
        <v>63091617120</v>
      </c>
      <c r="D16" s="206">
        <f t="shared" si="1"/>
        <v>192</v>
      </c>
      <c r="E16" s="206">
        <f>VLOOKUP(Tabla52[[#This Row],[No. Exp]],Tabla6[],5)</f>
        <v>46.875</v>
      </c>
      <c r="F16" s="207">
        <f>ROUND(Tabla52[[#This Row],[Horas Trabajadas]]*Tabla52[[#This Row],[Tarifas por Horas]],0)</f>
        <v>9000</v>
      </c>
      <c r="G16" s="207"/>
      <c r="H16" s="208">
        <f>Tabla52[[#This Row],[Salario Básico]]+Tabla52[[#This Row],[Bonif]]</f>
        <v>9000</v>
      </c>
      <c r="I16" s="289"/>
      <c r="J16" s="209">
        <v>15</v>
      </c>
      <c r="K16" s="207">
        <f>Tabla52[[#This Row],[Sal. Dev]]/24*Tabla52[[#This Row],[Vacaciones]]</f>
        <v>5625</v>
      </c>
      <c r="L16" s="207">
        <f>Tabla52[[#This Row],[Sal. Dev]]-Tabla52[[#This Row],[Ausencias]]+Tabla52[[#This Row],[pago x vacaciones]]</f>
        <v>14625</v>
      </c>
      <c r="M16" s="207">
        <f>5%*Tabla52[[#This Row],[Salario Neto]]</f>
        <v>731.25</v>
      </c>
      <c r="N16" s="206">
        <f t="shared" si="0"/>
        <v>187.5</v>
      </c>
      <c r="O16" s="206">
        <f>(Tabla52[[#This Row],[Salario Neto]]-9510)*5%</f>
        <v>255.75</v>
      </c>
      <c r="P16" s="347">
        <f>Tabla52[[#This Row],[Sal. Dev]]-Tabla52[[#This Row],[Ausencias]]+Tabla52[[#This Row],[pago x vacaciones]]-Tabla52[[#This Row],[importe Seg Social]]-Tabla52[[#This Row],[Imp. Sobr. Ing. Per 3% (3260.00-9510.00)]]-Tabla52[[#This Row],[Imp. Sobr. Ing. Per 5% (9510.00-15000.00)]]</f>
        <v>13450.5</v>
      </c>
    </row>
    <row r="17" spans="1:34" ht="37.75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22" spans="1:34" ht="33.450000000000003">
      <c r="B22" s="164" t="s">
        <v>242</v>
      </c>
    </row>
    <row r="24" spans="1:34" ht="45.45">
      <c r="A24" s="459" t="s">
        <v>0</v>
      </c>
      <c r="B24" s="459"/>
      <c r="C24" s="180"/>
      <c r="D24" s="180"/>
      <c r="E24" s="174"/>
      <c r="F24" s="174"/>
      <c r="G24" s="174"/>
      <c r="H24" s="174"/>
      <c r="I24" s="181" t="s">
        <v>1</v>
      </c>
      <c r="J24" s="181" t="s">
        <v>2</v>
      </c>
      <c r="K24" s="182">
        <v>45901</v>
      </c>
      <c r="L24" s="183" t="s">
        <v>3</v>
      </c>
      <c r="M24" s="182">
        <v>45930</v>
      </c>
      <c r="N24" s="181"/>
      <c r="O24" s="174"/>
      <c r="P24" s="174"/>
      <c r="Q24" s="174"/>
    </row>
    <row r="25" spans="1:34">
      <c r="A25" s="460" t="s">
        <v>4</v>
      </c>
      <c r="B25" s="460"/>
      <c r="C25" s="184" t="str">
        <f>C6</f>
        <v>Amanda Marcano Bahler</v>
      </c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</row>
    <row r="26" spans="1:34">
      <c r="A26" s="460" t="s">
        <v>5</v>
      </c>
      <c r="B26" s="460"/>
      <c r="C26" s="185"/>
      <c r="D26" s="174"/>
      <c r="E26" s="174"/>
      <c r="F26" s="174"/>
      <c r="G26" s="174"/>
      <c r="H26" s="174"/>
      <c r="I26" s="174"/>
      <c r="J26" s="174"/>
      <c r="K26" s="174"/>
      <c r="L26" s="174" t="str">
        <f>L7</f>
        <v>Horas:</v>
      </c>
      <c r="M26" s="184">
        <f>M7</f>
        <v>192</v>
      </c>
      <c r="N26" s="174"/>
      <c r="O26" s="174"/>
      <c r="P26" s="174"/>
      <c r="Q26" s="174"/>
    </row>
    <row r="27" spans="1:34" ht="30">
      <c r="A27" s="464" t="s">
        <v>7</v>
      </c>
      <c r="B27" s="464"/>
      <c r="C27" s="187" t="s">
        <v>17</v>
      </c>
      <c r="D27" s="174"/>
      <c r="E27" s="174"/>
      <c r="F27" s="174"/>
      <c r="G27" s="174"/>
      <c r="H27" s="174"/>
      <c r="I27" s="174"/>
      <c r="J27" s="174"/>
      <c r="K27" s="174"/>
      <c r="L27" s="460" t="s">
        <v>9</v>
      </c>
      <c r="M27" s="460"/>
      <c r="N27" s="174"/>
      <c r="O27" s="174"/>
      <c r="P27" s="174"/>
      <c r="Q27" s="174"/>
    </row>
    <row r="28" spans="1:34" s="152" customFormat="1" ht="69" customHeight="1">
      <c r="A28" s="170" t="s">
        <v>10</v>
      </c>
      <c r="B28" s="171" t="s">
        <v>11</v>
      </c>
      <c r="C28" s="171" t="s">
        <v>12</v>
      </c>
      <c r="D28" s="171" t="s">
        <v>198</v>
      </c>
      <c r="E28" s="171" t="s">
        <v>193</v>
      </c>
      <c r="F28" s="171" t="s">
        <v>189</v>
      </c>
      <c r="G28" s="171" t="s">
        <v>14</v>
      </c>
      <c r="H28" s="172" t="s">
        <v>15</v>
      </c>
      <c r="I28" s="171" t="s">
        <v>197</v>
      </c>
      <c r="J28" s="171" t="s">
        <v>9</v>
      </c>
      <c r="K28" s="171" t="s">
        <v>18</v>
      </c>
      <c r="L28" s="171" t="s">
        <v>196</v>
      </c>
      <c r="M28" s="171" t="s">
        <v>194</v>
      </c>
      <c r="N28" s="171" t="s">
        <v>240</v>
      </c>
      <c r="O28" s="171" t="s">
        <v>241</v>
      </c>
      <c r="P28" s="173" t="s">
        <v>191</v>
      </c>
      <c r="Q28" s="174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61"/>
    </row>
    <row r="29" spans="1:34" ht="58.75" customHeight="1">
      <c r="A29" s="200">
        <v>5</v>
      </c>
      <c r="B29" s="201" t="str">
        <f>VLOOKUP(Tabla51210[[#This Row],[No. Exp]],Tabla6[],2)</f>
        <v>Roberto Palacios Díaz</v>
      </c>
      <c r="C29" s="203" t="str">
        <f>VLOOKUP(Tabla51210[[#This Row],[No. Exp]],Tabla6[],3)</f>
        <v>89092321528</v>
      </c>
      <c r="D29" s="240">
        <v>192</v>
      </c>
      <c r="E29" s="240">
        <f>VLOOKUP(Tabla51210[[#This Row],[No. Exp]],Tabla6[],5)</f>
        <v>41.665999999999997</v>
      </c>
      <c r="F29" s="241">
        <f>ROUND(Tabla51210[[#This Row],[Horas Trabajadas]]*Tabla51210[[#This Row],[Tarifas x horas ]],0)</f>
        <v>8000</v>
      </c>
      <c r="G29" s="241"/>
      <c r="H29" s="242">
        <f>Tabla51210[[#This Row],[Salario Básico]]+Tabla51210[[#This Row],[Bonif]]</f>
        <v>8000</v>
      </c>
      <c r="I29" s="241"/>
      <c r="J29" s="241"/>
      <c r="K29" s="241">
        <f>Tabla51210[[#This Row],[Sal. Dev]]/24*Tabla51210[[#This Row],[Vacaciones]]</f>
        <v>0</v>
      </c>
      <c r="L29" s="243">
        <f>Tabla51210[[#This Row],[Sal. Dev]]-Tabla51210[[#This Row],[Ausencias]]+Tabla51210[[#This Row],[pago x Vacaciones]]</f>
        <v>8000</v>
      </c>
      <c r="M29" s="244">
        <f>5%*Tabla51210[[#This Row],[Salario Neto]]</f>
        <v>400</v>
      </c>
      <c r="N29" s="240">
        <f>(9510-3260)*3%</f>
        <v>187.5</v>
      </c>
      <c r="O29" s="240"/>
      <c r="P29" s="245">
        <f>Tabla51210[[#This Row],[Sal. Dev]]-Tabla51210[[#This Row],[Ausencias]]+Tabla51210[[#This Row],[pago x Vacaciones]]-Tabla51210[[#This Row],[importe Seg Social]]-Tabla51210[[#This Row],[Imp. Sobr. Ing. Per 3% (3260.00-9510.00)]]</f>
        <v>7412.5</v>
      </c>
      <c r="Q29" s="174"/>
    </row>
    <row r="30" spans="1:34" ht="63" customHeight="1">
      <c r="A30" s="202">
        <v>9</v>
      </c>
      <c r="B30" s="201" t="str">
        <f>VLOOKUP(Tabla51210[[#This Row],[No. Exp]],Tabla6[],2)</f>
        <v>Leonardo Goberna Sánchez</v>
      </c>
      <c r="C30" s="203" t="str">
        <f>VLOOKUP(Tabla51210[[#This Row],[No. Exp]],Tabla6[],3)</f>
        <v>97042008188</v>
      </c>
      <c r="D30" s="240">
        <v>192</v>
      </c>
      <c r="E30" s="240">
        <f>VLOOKUP(Tabla51210[[#This Row],[No. Exp]],Tabla6[],5)</f>
        <v>40.625</v>
      </c>
      <c r="F30" s="241">
        <f>ROUND(Tabla51210[[#This Row],[Horas Trabajadas]]*Tabla51210[[#This Row],[Tarifas x horas ]],0)</f>
        <v>7800</v>
      </c>
      <c r="G30" s="241"/>
      <c r="H30" s="242">
        <f>Tabla51210[[#This Row],[Salario Básico]]+Tabla51210[[#This Row],[Bonif]]</f>
        <v>7800</v>
      </c>
      <c r="I30" s="242"/>
      <c r="J30" s="246"/>
      <c r="K30" s="241">
        <f>Tabla51210[[#This Row],[Sal. Dev]]/24*Tabla51210[[#This Row],[Vacaciones]]</f>
        <v>0</v>
      </c>
      <c r="L30" s="242">
        <f>Tabla51210[[#This Row],[Sal. Dev]]-Tabla51210[[#This Row],[Ausencias]]+Tabla51210[[#This Row],[pago x Vacaciones]]</f>
        <v>7800</v>
      </c>
      <c r="M30" s="241">
        <f>5%*Tabla51210[[#This Row],[Salario Neto]]</f>
        <v>390</v>
      </c>
      <c r="N30" s="240">
        <f t="shared" ref="N30:N53" si="2">(9510-3260)*3%</f>
        <v>187.5</v>
      </c>
      <c r="O30" s="240"/>
      <c r="P30" s="247">
        <f>Tabla51210[[#This Row],[Sal. Dev]]-Tabla51210[[#This Row],[Ausencias]]+Tabla51210[[#This Row],[pago x Vacaciones]]-Tabla51210[[#This Row],[importe Seg Social]]-Tabla51210[[#This Row],[Imp. Sobr. Ing. Per 3% (3260.00-9510.00)]]</f>
        <v>7222.5</v>
      </c>
      <c r="Q30" s="174"/>
    </row>
    <row r="31" spans="1:34" ht="60.45" customHeight="1">
      <c r="A31" s="202">
        <v>10</v>
      </c>
      <c r="B31" s="201" t="str">
        <f>VLOOKUP(Tabla51210[[#This Row],[No. Exp]],Tabla6[],2)</f>
        <v>Liván León López</v>
      </c>
      <c r="C31" s="203">
        <f>VLOOKUP(Tabla51210[[#This Row],[No. Exp]],Tabla6[],3)</f>
        <v>98090107024</v>
      </c>
      <c r="D31" s="240">
        <f>D30</f>
        <v>192</v>
      </c>
      <c r="E31" s="240">
        <f>VLOOKUP(Tabla51210[[#This Row],[No. Exp]],Tabla6[],5)</f>
        <v>40.625</v>
      </c>
      <c r="F31" s="241">
        <f>ROUND(Tabla51210[[#This Row],[Horas Trabajadas]]*Tabla51210[[#This Row],[Tarifas x horas ]],0)</f>
        <v>7800</v>
      </c>
      <c r="G31" s="241"/>
      <c r="H31" s="242">
        <f>Tabla51210[[#This Row],[Salario Básico]]+Tabla51210[[#This Row],[Bonif]]</f>
        <v>7800</v>
      </c>
      <c r="I31" s="244"/>
      <c r="J31" s="246"/>
      <c r="K31" s="241">
        <f>Tabla51210[[#This Row],[Sal. Dev]]/24*Tabla51210[[#This Row],[Vacaciones]]</f>
        <v>0</v>
      </c>
      <c r="L31" s="242">
        <f>Tabla51210[[#This Row],[Sal. Dev]]-Tabla51210[[#This Row],[Ausencias]]+Tabla51210[[#This Row],[pago x Vacaciones]]</f>
        <v>7800</v>
      </c>
      <c r="M31" s="241">
        <f>5%*Tabla51210[[#This Row],[Salario Neto]]</f>
        <v>390</v>
      </c>
      <c r="N31" s="240">
        <f t="shared" si="2"/>
        <v>187.5</v>
      </c>
      <c r="O31" s="240"/>
      <c r="P31" s="247">
        <f>Tabla51210[[#This Row],[Sal. Dev]]-Tabla51210[[#This Row],[Ausencias]]+Tabla51210[[#This Row],[pago x Vacaciones]]-Tabla51210[[#This Row],[importe Seg Social]]-Tabla51210[[#This Row],[Imp. Sobr. Ing. Per 3% (3260.00-9510.00)]]</f>
        <v>7222.5</v>
      </c>
      <c r="Q31" s="174"/>
    </row>
    <row r="32" spans="1:34" ht="65.150000000000006" customHeight="1">
      <c r="A32" s="202">
        <v>11</v>
      </c>
      <c r="B32" s="201" t="str">
        <f>VLOOKUP(Tabla51210[[#This Row],[No. Exp]],Tabla6[],2)</f>
        <v>Norge Araújo Ortega</v>
      </c>
      <c r="C32" s="203">
        <f>VLOOKUP(Tabla51210[[#This Row],[No. Exp]],Tabla6[],3)</f>
        <v>87121431060</v>
      </c>
      <c r="D32" s="240">
        <f t="shared" ref="D32:D41" si="3">D30</f>
        <v>192</v>
      </c>
      <c r="E32" s="240">
        <f>VLOOKUP(Tabla51210[[#This Row],[No. Exp]],Tabla6[],5)</f>
        <v>40.625</v>
      </c>
      <c r="F32" s="241">
        <f>ROUND(Tabla51210[[#This Row],[Horas Trabajadas]]*Tabla51210[[#This Row],[Tarifas x horas ]],0)</f>
        <v>7800</v>
      </c>
      <c r="G32" s="241"/>
      <c r="H32" s="242">
        <f>Tabla51210[[#This Row],[Salario Básico]]+Tabla51210[[#This Row],[Bonif]]</f>
        <v>7800</v>
      </c>
      <c r="I32" s="244"/>
      <c r="J32" s="246"/>
      <c r="K32" s="241">
        <f>Tabla51210[[#This Row],[Sal. Dev]]/24*Tabla51210[[#This Row],[Vacaciones]]</f>
        <v>0</v>
      </c>
      <c r="L32" s="242">
        <f>Tabla51210[[#This Row],[Sal. Dev]]-Tabla51210[[#This Row],[Ausencias]]+Tabla51210[[#This Row],[pago x Vacaciones]]</f>
        <v>7800</v>
      </c>
      <c r="M32" s="241">
        <f>5%*Tabla51210[[#This Row],[Salario Neto]]</f>
        <v>390</v>
      </c>
      <c r="N32" s="240">
        <f t="shared" si="2"/>
        <v>187.5</v>
      </c>
      <c r="O32" s="240"/>
      <c r="P32" s="247">
        <f>Tabla51210[[#This Row],[Sal. Dev]]-Tabla51210[[#This Row],[Ausencias]]+Tabla51210[[#This Row],[pago x Vacaciones]]-Tabla51210[[#This Row],[importe Seg Social]]-Tabla51210[[#This Row],[Imp. Sobr. Ing. Per 3% (3260.00-9510.00)]]</f>
        <v>7222.5</v>
      </c>
      <c r="Q32" s="174"/>
    </row>
    <row r="33" spans="1:17" ht="72" customHeight="1">
      <c r="A33" s="202">
        <v>12</v>
      </c>
      <c r="B33" s="201" t="str">
        <f>VLOOKUP(Tabla51210[[#This Row],[No. Exp]],Tabla6[],2)</f>
        <v>Humberto Eugenio Blanco Hernanadez</v>
      </c>
      <c r="C33" s="203">
        <f>VLOOKUP(Tabla51210[[#This Row],[No. Exp]],Tabla6[],3)</f>
        <v>96042423224</v>
      </c>
      <c r="D33" s="240">
        <f t="shared" si="3"/>
        <v>192</v>
      </c>
      <c r="E33" s="240">
        <f>VLOOKUP(Tabla51210[[#This Row],[No. Exp]],Tabla6[],5)</f>
        <v>40.625</v>
      </c>
      <c r="F33" s="241">
        <f>ROUND(Tabla51210[[#This Row],[Horas Trabajadas]]*Tabla51210[[#This Row],[Tarifas x horas ]],0)</f>
        <v>7800</v>
      </c>
      <c r="G33" s="241"/>
      <c r="H33" s="242">
        <f>Tabla51210[[#This Row],[Salario Básico]]+Tabla51210[[#This Row],[Bonif]]</f>
        <v>7800</v>
      </c>
      <c r="I33" s="244"/>
      <c r="J33" s="246"/>
      <c r="K33" s="241">
        <f>Tabla51210[[#This Row],[Sal. Dev]]/24*Tabla51210[[#This Row],[Vacaciones]]</f>
        <v>0</v>
      </c>
      <c r="L33" s="242">
        <f>Tabla51210[[#This Row],[Sal. Dev]]-Tabla51210[[#This Row],[Ausencias]]+Tabla51210[[#This Row],[pago x Vacaciones]]</f>
        <v>7800</v>
      </c>
      <c r="M33" s="241">
        <f>5%*Tabla51210[[#This Row],[Salario Neto]]</f>
        <v>390</v>
      </c>
      <c r="N33" s="240">
        <f t="shared" si="2"/>
        <v>187.5</v>
      </c>
      <c r="O33" s="240"/>
      <c r="P33" s="247">
        <f>Tabla51210[[#This Row],[Sal. Dev]]-Tabla51210[[#This Row],[Ausencias]]+Tabla51210[[#This Row],[pago x Vacaciones]]-Tabla51210[[#This Row],[importe Seg Social]]-Tabla51210[[#This Row],[Imp. Sobr. Ing. Per 3% (3260.00-9510.00)]]</f>
        <v>7222.5</v>
      </c>
      <c r="Q33" s="174"/>
    </row>
    <row r="34" spans="1:17" ht="68.599999999999994" customHeight="1">
      <c r="A34" s="202">
        <v>13</v>
      </c>
      <c r="B34" s="201" t="str">
        <f>VLOOKUP(Tabla51210[[#This Row],[No. Exp]],Tabla6[],2)</f>
        <v>Samuel Elías Galán Zaldívar</v>
      </c>
      <c r="C34" s="203">
        <f>VLOOKUP(Tabla51210[[#This Row],[No. Exp]],Tabla6[],3)</f>
        <v>99061719940</v>
      </c>
      <c r="D34" s="240">
        <f t="shared" si="3"/>
        <v>192</v>
      </c>
      <c r="E34" s="240">
        <f>VLOOKUP(Tabla51210[[#This Row],[No. Exp]],Tabla6[],5)</f>
        <v>40.625</v>
      </c>
      <c r="F34" s="241">
        <f>ROUND(Tabla51210[[#This Row],[Horas Trabajadas]]*Tabla51210[[#This Row],[Tarifas x horas ]],0)</f>
        <v>7800</v>
      </c>
      <c r="G34" s="241"/>
      <c r="H34" s="242">
        <f>Tabla51210[[#This Row],[Salario Básico]]+Tabla51210[[#This Row],[Bonif]]</f>
        <v>7800</v>
      </c>
      <c r="I34" s="244"/>
      <c r="J34" s="246"/>
      <c r="K34" s="241">
        <f>Tabla51210[[#This Row],[Sal. Dev]]/24*Tabla51210[[#This Row],[Vacaciones]]</f>
        <v>0</v>
      </c>
      <c r="L34" s="242">
        <f>Tabla51210[[#This Row],[Sal. Dev]]-Tabla51210[[#This Row],[Ausencias]]+Tabla51210[[#This Row],[pago x Vacaciones]]</f>
        <v>7800</v>
      </c>
      <c r="M34" s="241">
        <f>5%*Tabla51210[[#This Row],[Salario Neto]]</f>
        <v>390</v>
      </c>
      <c r="N34" s="240">
        <f t="shared" si="2"/>
        <v>187.5</v>
      </c>
      <c r="O34" s="240"/>
      <c r="P34" s="247">
        <f>Tabla51210[[#This Row],[Sal. Dev]]-Tabla51210[[#This Row],[Ausencias]]+Tabla51210[[#This Row],[pago x Vacaciones]]-Tabla51210[[#This Row],[importe Seg Social]]-Tabla51210[[#This Row],[Imp. Sobr. Ing. Per 3% (3260.00-9510.00)]]</f>
        <v>7222.5</v>
      </c>
      <c r="Q34" s="174"/>
    </row>
    <row r="35" spans="1:17" ht="67.75" customHeight="1">
      <c r="A35" s="202">
        <v>14</v>
      </c>
      <c r="B35" s="201" t="str">
        <f>VLOOKUP(Tabla51210[[#This Row],[No. Exp]],Tabla6[],2)</f>
        <v>Jesús Pérez Fagundo</v>
      </c>
      <c r="C35" s="203">
        <f>VLOOKUP(Tabla51210[[#This Row],[No. Exp]],Tabla6[],3)</f>
        <v>88062613221</v>
      </c>
      <c r="D35" s="240">
        <f t="shared" si="3"/>
        <v>192</v>
      </c>
      <c r="E35" s="240">
        <f>VLOOKUP(Tabla51210[[#This Row],[No. Exp]],Tabla6[],5)</f>
        <v>40.625</v>
      </c>
      <c r="F35" s="241">
        <f>ROUND(Tabla51210[[#This Row],[Horas Trabajadas]]*Tabla51210[[#This Row],[Tarifas x horas ]],0)</f>
        <v>7800</v>
      </c>
      <c r="G35" s="241"/>
      <c r="H35" s="242">
        <f>Tabla51210[[#This Row],[Salario Básico]]+Tabla51210[[#This Row],[Bonif]]</f>
        <v>7800</v>
      </c>
      <c r="I35" s="244"/>
      <c r="J35" s="246"/>
      <c r="K35" s="241">
        <f>Tabla51210[[#This Row],[Sal. Dev]]/24*Tabla51210[[#This Row],[Vacaciones]]</f>
        <v>0</v>
      </c>
      <c r="L35" s="242">
        <f>Tabla51210[[#This Row],[Sal. Dev]]-Tabla51210[[#This Row],[Ausencias]]+Tabla51210[[#This Row],[pago x Vacaciones]]</f>
        <v>7800</v>
      </c>
      <c r="M35" s="241">
        <f>5%*Tabla51210[[#This Row],[Salario Neto]]</f>
        <v>390</v>
      </c>
      <c r="N35" s="240">
        <f t="shared" si="2"/>
        <v>187.5</v>
      </c>
      <c r="O35" s="240"/>
      <c r="P35" s="247">
        <f>Tabla51210[[#This Row],[Sal. Dev]]-Tabla51210[[#This Row],[Ausencias]]+Tabla51210[[#This Row],[pago x Vacaciones]]-Tabla51210[[#This Row],[importe Seg Social]]-Tabla51210[[#This Row],[Imp. Sobr. Ing. Per 3% (3260.00-9510.00)]]</f>
        <v>7222.5</v>
      </c>
      <c r="Q35" s="174"/>
    </row>
    <row r="36" spans="1:17" ht="54.45" customHeight="1">
      <c r="A36" s="202">
        <v>15</v>
      </c>
      <c r="B36" s="201" t="str">
        <f>VLOOKUP(Tabla51210[[#This Row],[No. Exp]],Tabla6[],2)</f>
        <v>Alexei  Llanes Gonzalez</v>
      </c>
      <c r="C36" s="203">
        <f>VLOOKUP(Tabla51210[[#This Row],[No. Exp]],Tabla6[],3)</f>
        <v>97012308566</v>
      </c>
      <c r="D36" s="240">
        <f t="shared" si="3"/>
        <v>192</v>
      </c>
      <c r="E36" s="240">
        <f>VLOOKUP(Tabla51210[[#This Row],[No. Exp]],Tabla6[],5)</f>
        <v>40.625</v>
      </c>
      <c r="F36" s="241">
        <f>ROUND(Tabla51210[[#This Row],[Horas Trabajadas]]*Tabla51210[[#This Row],[Tarifas x horas ]],0)</f>
        <v>7800</v>
      </c>
      <c r="G36" s="241"/>
      <c r="H36" s="242">
        <f>Tabla51210[[#This Row],[Salario Básico]]+Tabla51210[[#This Row],[Bonif]]</f>
        <v>7800</v>
      </c>
      <c r="I36" s="244"/>
      <c r="J36" s="246"/>
      <c r="K36" s="241">
        <f>Tabla51210[[#This Row],[Sal. Dev]]/24*Tabla51210[[#This Row],[Vacaciones]]</f>
        <v>0</v>
      </c>
      <c r="L36" s="242">
        <f>Tabla51210[[#This Row],[Sal. Dev]]-Tabla51210[[#This Row],[Ausencias]]+Tabla51210[[#This Row],[pago x Vacaciones]]</f>
        <v>7800</v>
      </c>
      <c r="M36" s="241">
        <f>5%*Tabla51210[[#This Row],[Salario Neto]]</f>
        <v>390</v>
      </c>
      <c r="N36" s="240">
        <f t="shared" si="2"/>
        <v>187.5</v>
      </c>
      <c r="O36" s="240"/>
      <c r="P36" s="247">
        <f>Tabla51210[[#This Row],[Sal. Dev]]-Tabla51210[[#This Row],[Ausencias]]+Tabla51210[[#This Row],[pago x Vacaciones]]-Tabla51210[[#This Row],[importe Seg Social]]-Tabla51210[[#This Row],[Imp. Sobr. Ing. Per 3% (3260.00-9510.00)]]</f>
        <v>7222.5</v>
      </c>
      <c r="Q36" s="174"/>
    </row>
    <row r="37" spans="1:17" ht="64.3" customHeight="1">
      <c r="A37" s="202">
        <v>16</v>
      </c>
      <c r="B37" s="201" t="str">
        <f>VLOOKUP(Tabla51210[[#This Row],[No. Exp]],Tabla6[],2)</f>
        <v>Cristian Corrales Rosario</v>
      </c>
      <c r="C37" s="203">
        <f>VLOOKUP(Tabla51210[[#This Row],[No. Exp]],Tabla6[],3)</f>
        <v>96091007562</v>
      </c>
      <c r="D37" s="240">
        <f t="shared" si="3"/>
        <v>192</v>
      </c>
      <c r="E37" s="240">
        <f>VLOOKUP(Tabla51210[[#This Row],[No. Exp]],Tabla6[],5)</f>
        <v>40.625</v>
      </c>
      <c r="F37" s="241">
        <f>ROUND(Tabla51210[[#This Row],[Horas Trabajadas]]*Tabla51210[[#This Row],[Tarifas x horas ]],0)</f>
        <v>7800</v>
      </c>
      <c r="G37" s="241"/>
      <c r="H37" s="242">
        <f>Tabla51210[[#This Row],[Salario Básico]]+Tabla51210[[#This Row],[Bonif]]</f>
        <v>7800</v>
      </c>
      <c r="I37" s="244"/>
      <c r="J37" s="246"/>
      <c r="K37" s="241">
        <f>Tabla51210[[#This Row],[Sal. Dev]]/24*Tabla51210[[#This Row],[Vacaciones]]</f>
        <v>0</v>
      </c>
      <c r="L37" s="242">
        <f>Tabla51210[[#This Row],[Sal. Dev]]-Tabla51210[[#This Row],[Ausencias]]+Tabla51210[[#This Row],[pago x Vacaciones]]</f>
        <v>7800</v>
      </c>
      <c r="M37" s="241">
        <f>5%*Tabla51210[[#This Row],[Salario Neto]]</f>
        <v>390</v>
      </c>
      <c r="N37" s="240">
        <f t="shared" si="2"/>
        <v>187.5</v>
      </c>
      <c r="O37" s="240"/>
      <c r="P37" s="247">
        <f>Tabla51210[[#This Row],[Sal. Dev]]-Tabla51210[[#This Row],[Ausencias]]+Tabla51210[[#This Row],[pago x Vacaciones]]-Tabla51210[[#This Row],[importe Seg Social]]-Tabla51210[[#This Row],[Imp. Sobr. Ing. Per 3% (3260.00-9510.00)]]</f>
        <v>7222.5</v>
      </c>
      <c r="Q37" s="174"/>
    </row>
    <row r="38" spans="1:17" ht="42.45" customHeight="1">
      <c r="A38" s="202">
        <v>17</v>
      </c>
      <c r="B38" s="201" t="str">
        <f>VLOOKUP(Tabla51210[[#This Row],[No. Exp]],Tabla6[],2)</f>
        <v>Rudens  Roberto Borbolla</v>
      </c>
      <c r="C38" s="203">
        <f>VLOOKUP(Tabla51210[[#This Row],[No. Exp]],Tabla6[],3)</f>
        <v>93050161098</v>
      </c>
      <c r="D38" s="240">
        <f t="shared" si="3"/>
        <v>192</v>
      </c>
      <c r="E38" s="240">
        <f>VLOOKUP(Tabla51210[[#This Row],[No. Exp]],Tabla6[],5)</f>
        <v>40.625</v>
      </c>
      <c r="F38" s="241">
        <f>ROUND(Tabla51210[[#This Row],[Horas Trabajadas]]*Tabla51210[[#This Row],[Tarifas x horas ]],0)</f>
        <v>7800</v>
      </c>
      <c r="G38" s="241"/>
      <c r="H38" s="242">
        <f>Tabla51210[[#This Row],[Salario Básico]]+Tabla51210[[#This Row],[Bonif]]</f>
        <v>7800</v>
      </c>
      <c r="I38" s="244"/>
      <c r="J38" s="246"/>
      <c r="K38" s="241">
        <f>Tabla51210[[#This Row],[Sal. Dev]]/24*Tabla51210[[#This Row],[Vacaciones]]</f>
        <v>0</v>
      </c>
      <c r="L38" s="242">
        <f>Tabla51210[[#This Row],[Sal. Dev]]-Tabla51210[[#This Row],[Ausencias]]+Tabla51210[[#This Row],[pago x Vacaciones]]</f>
        <v>7800</v>
      </c>
      <c r="M38" s="241">
        <f>5%*Tabla51210[[#This Row],[Salario Neto]]</f>
        <v>390</v>
      </c>
      <c r="N38" s="240">
        <f t="shared" si="2"/>
        <v>187.5</v>
      </c>
      <c r="O38" s="240"/>
      <c r="P38" s="247">
        <f>Tabla51210[[#This Row],[Sal. Dev]]-Tabla51210[[#This Row],[Ausencias]]+Tabla51210[[#This Row],[pago x Vacaciones]]-Tabla51210[[#This Row],[importe Seg Social]]-Tabla51210[[#This Row],[Imp. Sobr. Ing. Per 3% (3260.00-9510.00)]]</f>
        <v>7222.5</v>
      </c>
      <c r="Q38" s="174"/>
    </row>
    <row r="39" spans="1:17" ht="59.15" customHeight="1">
      <c r="A39" s="202">
        <v>18</v>
      </c>
      <c r="B39" s="201" t="str">
        <f>VLOOKUP(Tabla51210[[#This Row],[No. Exp]],Tabla6[],2)</f>
        <v>Roliel Rodríguez García</v>
      </c>
      <c r="C39" s="203">
        <f>VLOOKUP(Tabla51210[[#This Row],[No. Exp]],Tabla6[],3)</f>
        <v>91122226789</v>
      </c>
      <c r="D39" s="240">
        <f t="shared" si="3"/>
        <v>192</v>
      </c>
      <c r="E39" s="240">
        <f>VLOOKUP(Tabla51210[[#This Row],[No. Exp]],Tabla6[],5)</f>
        <v>40.625</v>
      </c>
      <c r="F39" s="241">
        <f>ROUND(Tabla51210[[#This Row],[Horas Trabajadas]]*Tabla51210[[#This Row],[Tarifas x horas ]],0)</f>
        <v>7800</v>
      </c>
      <c r="G39" s="241"/>
      <c r="H39" s="242">
        <f>Tabla51210[[#This Row],[Salario Básico]]+Tabla51210[[#This Row],[Bonif]]</f>
        <v>7800</v>
      </c>
      <c r="I39" s="244"/>
      <c r="J39" s="246"/>
      <c r="K39" s="241">
        <f>Tabla51210[[#This Row],[Sal. Dev]]/24*Tabla51210[[#This Row],[Vacaciones]]</f>
        <v>0</v>
      </c>
      <c r="L39" s="242">
        <f>Tabla51210[[#This Row],[Sal. Dev]]-Tabla51210[[#This Row],[Ausencias]]+Tabla51210[[#This Row],[pago x Vacaciones]]</f>
        <v>7800</v>
      </c>
      <c r="M39" s="241">
        <f>5%*Tabla51210[[#This Row],[Salario Neto]]</f>
        <v>390</v>
      </c>
      <c r="N39" s="240">
        <f t="shared" si="2"/>
        <v>187.5</v>
      </c>
      <c r="O39" s="240"/>
      <c r="P39" s="247">
        <f>Tabla51210[[#This Row],[Sal. Dev]]-Tabla51210[[#This Row],[Ausencias]]+Tabla51210[[#This Row],[pago x Vacaciones]]-Tabla51210[[#This Row],[importe Seg Social]]-Tabla51210[[#This Row],[Imp. Sobr. Ing. Per 3% (3260.00-9510.00)]]</f>
        <v>7222.5</v>
      </c>
      <c r="Q39" s="174"/>
    </row>
    <row r="40" spans="1:17" ht="48" customHeight="1">
      <c r="A40" s="202">
        <v>19</v>
      </c>
      <c r="B40" s="201" t="str">
        <f>VLOOKUP(Tabla51210[[#This Row],[No. Exp]],Tabla6[],2)</f>
        <v>Osmandy del Valle Milanés</v>
      </c>
      <c r="C40" s="203">
        <f>VLOOKUP(Tabla51210[[#This Row],[No. Exp]],Tabla6[],3)</f>
        <v>89123036741</v>
      </c>
      <c r="D40" s="240">
        <f t="shared" si="3"/>
        <v>192</v>
      </c>
      <c r="E40" s="240">
        <f>VLOOKUP(Tabla51210[[#This Row],[No. Exp]],Tabla6[],5)</f>
        <v>40.625</v>
      </c>
      <c r="F40" s="241">
        <f>ROUND(Tabla51210[[#This Row],[Horas Trabajadas]]*Tabla51210[[#This Row],[Tarifas x horas ]],0)</f>
        <v>7800</v>
      </c>
      <c r="G40" s="241"/>
      <c r="H40" s="242">
        <f>Tabla51210[[#This Row],[Salario Básico]]+Tabla51210[[#This Row],[Bonif]]</f>
        <v>7800</v>
      </c>
      <c r="I40" s="244"/>
      <c r="J40" s="246"/>
      <c r="K40" s="241">
        <f>Tabla51210[[#This Row],[Sal. Dev]]/24*Tabla51210[[#This Row],[Vacaciones]]</f>
        <v>0</v>
      </c>
      <c r="L40" s="242">
        <f>Tabla51210[[#This Row],[Sal. Dev]]-Tabla51210[[#This Row],[Ausencias]]+Tabla51210[[#This Row],[pago x Vacaciones]]</f>
        <v>7800</v>
      </c>
      <c r="M40" s="241">
        <f>5%*Tabla51210[[#This Row],[Salario Neto]]</f>
        <v>390</v>
      </c>
      <c r="N40" s="240">
        <f t="shared" si="2"/>
        <v>187.5</v>
      </c>
      <c r="O40" s="240"/>
      <c r="P40" s="247">
        <f>Tabla51210[[#This Row],[Sal. Dev]]-Tabla51210[[#This Row],[Ausencias]]+Tabla51210[[#This Row],[pago x Vacaciones]]-Tabla51210[[#This Row],[importe Seg Social]]-Tabla51210[[#This Row],[Imp. Sobr. Ing. Per 3% (3260.00-9510.00)]]</f>
        <v>7222.5</v>
      </c>
      <c r="Q40" s="174"/>
    </row>
    <row r="41" spans="1:17" ht="62.15" customHeight="1">
      <c r="A41" s="202">
        <v>20</v>
      </c>
      <c r="B41" s="201" t="str">
        <f>VLOOKUP(Tabla51210[[#This Row],[No. Exp]],Tabla6[],2)</f>
        <v>René Acosta Cruz</v>
      </c>
      <c r="C41" s="203" t="str">
        <f>VLOOKUP(Tabla51210[[#This Row],[No. Exp]],Tabla6[],3)</f>
        <v>89082821885</v>
      </c>
      <c r="D41" s="240">
        <f t="shared" si="3"/>
        <v>192</v>
      </c>
      <c r="E41" s="240">
        <f>VLOOKUP(Tabla51210[[#This Row],[No. Exp]],Tabla6[],5)</f>
        <v>40.625</v>
      </c>
      <c r="F41" s="241">
        <f>ROUND(Tabla51210[[#This Row],[Horas Trabajadas]]*Tabla51210[[#This Row],[Tarifas x horas ]],0)</f>
        <v>7800</v>
      </c>
      <c r="G41" s="241"/>
      <c r="H41" s="242">
        <f>Tabla51210[[#This Row],[Salario Básico]]+Tabla51210[[#This Row],[Bonif]]</f>
        <v>7800</v>
      </c>
      <c r="I41" s="244"/>
      <c r="J41" s="246"/>
      <c r="K41" s="241">
        <f>Tabla51210[[#This Row],[Sal. Dev]]/24*Tabla51210[[#This Row],[Vacaciones]]</f>
        <v>0</v>
      </c>
      <c r="L41" s="242">
        <f>Tabla51210[[#This Row],[Sal. Dev]]-Tabla51210[[#This Row],[Ausencias]]+Tabla51210[[#This Row],[pago x Vacaciones]]</f>
        <v>7800</v>
      </c>
      <c r="M41" s="241">
        <f>5%*Tabla51210[[#This Row],[Salario Neto]]</f>
        <v>390</v>
      </c>
      <c r="N41" s="240">
        <f t="shared" si="2"/>
        <v>187.5</v>
      </c>
      <c r="O41" s="240"/>
      <c r="P41" s="247">
        <f>Tabla51210[[#This Row],[Sal. Dev]]-Tabla51210[[#This Row],[Ausencias]]+Tabla51210[[#This Row],[pago x Vacaciones]]-Tabla51210[[#This Row],[importe Seg Social]]-Tabla51210[[#This Row],[Imp. Sobr. Ing. Per 3% (3260.00-9510.00)]]</f>
        <v>7222.5</v>
      </c>
      <c r="Q41" s="174"/>
    </row>
    <row r="42" spans="1:17" ht="73.3" customHeight="1">
      <c r="A42" s="202">
        <v>25</v>
      </c>
      <c r="B42" s="201" t="str">
        <f>VLOOKUP(Tabla51210[[#This Row],[No. Exp]],Tabla6[],2)</f>
        <v>Pedro Emilio Robaina Morales</v>
      </c>
      <c r="C42" s="203" t="str">
        <f>VLOOKUP(Tabla51210[[#This Row],[No. Exp]],Tabla6[],3)</f>
        <v>02021968481</v>
      </c>
      <c r="D42" s="240">
        <f>D40</f>
        <v>192</v>
      </c>
      <c r="E42" s="240">
        <f>VLOOKUP(Tabla51210[[#This Row],[No. Exp]],Tabla6[],5)</f>
        <v>40.625</v>
      </c>
      <c r="F42" s="241">
        <f>ROUND(Tabla51210[[#This Row],[Horas Trabajadas]]*Tabla51210[[#This Row],[Tarifas x horas ]],0)</f>
        <v>7800</v>
      </c>
      <c r="G42" s="241"/>
      <c r="H42" s="242">
        <f>Tabla51210[[#This Row],[Salario Básico]]+Tabla51210[[#This Row],[Bonif]]</f>
        <v>7800</v>
      </c>
      <c r="I42" s="244"/>
      <c r="J42" s="246"/>
      <c r="K42" s="241">
        <f>Tabla51210[[#This Row],[Sal. Dev]]/24*Tabla51210[[#This Row],[Vacaciones]]</f>
        <v>0</v>
      </c>
      <c r="L42" s="242">
        <f>Tabla51210[[#This Row],[Sal. Dev]]-Tabla51210[[#This Row],[Ausencias]]+Tabla51210[[#This Row],[pago x Vacaciones]]</f>
        <v>7800</v>
      </c>
      <c r="M42" s="241">
        <f>5%*Tabla51210[[#This Row],[Salario Neto]]</f>
        <v>390</v>
      </c>
      <c r="N42" s="240">
        <f t="shared" si="2"/>
        <v>187.5</v>
      </c>
      <c r="O42" s="240"/>
      <c r="P42" s="247">
        <f>Tabla51210[[#This Row],[Sal. Dev]]-Tabla51210[[#This Row],[Ausencias]]+Tabla51210[[#This Row],[pago x Vacaciones]]-Tabla51210[[#This Row],[importe Seg Social]]-Tabla51210[[#This Row],[Imp. Sobr. Ing. Per 3% (3260.00-9510.00)]]</f>
        <v>7222.5</v>
      </c>
      <c r="Q42" s="174"/>
    </row>
    <row r="43" spans="1:17" ht="83.6" customHeight="1">
      <c r="A43" s="202">
        <v>27</v>
      </c>
      <c r="B43" s="201" t="str">
        <f>VLOOKUP(Tabla51210[[#This Row],[No. Exp]],Tabla6[],2)</f>
        <v>Exsuan José Carvajal</v>
      </c>
      <c r="C43" s="203" t="str">
        <f>VLOOKUP(Tabla51210[[#This Row],[No. Exp]],Tabla6[],3)</f>
        <v>97031207088</v>
      </c>
      <c r="D43" s="240">
        <f>D42</f>
        <v>192</v>
      </c>
      <c r="E43" s="240">
        <f>VLOOKUP(Tabla51210[[#This Row],[No. Exp]],Tabla6[],5)</f>
        <v>40.625</v>
      </c>
      <c r="F43" s="241">
        <f>ROUND(Tabla51210[[#This Row],[Horas Trabajadas]]*Tabla51210[[#This Row],[Tarifas x horas ]],0)</f>
        <v>7800</v>
      </c>
      <c r="G43" s="241"/>
      <c r="H43" s="242">
        <f>Tabla51210[[#This Row],[Salario Básico]]+Tabla51210[[#This Row],[Bonif]]</f>
        <v>7800</v>
      </c>
      <c r="I43" s="244"/>
      <c r="J43" s="246"/>
      <c r="K43" s="241">
        <f>Tabla51210[[#This Row],[Sal. Dev]]/24*Tabla51210[[#This Row],[Vacaciones]]</f>
        <v>0</v>
      </c>
      <c r="L43" s="242">
        <f>Tabla51210[[#This Row],[Sal. Dev]]-Tabla51210[[#This Row],[Ausencias]]+Tabla51210[[#This Row],[pago x Vacaciones]]</f>
        <v>7800</v>
      </c>
      <c r="M43" s="241">
        <f>5%*Tabla51210[[#This Row],[Salario Neto]]</f>
        <v>390</v>
      </c>
      <c r="N43" s="240">
        <f t="shared" si="2"/>
        <v>187.5</v>
      </c>
      <c r="O43" s="240"/>
      <c r="P43" s="247">
        <f>Tabla51210[[#This Row],[Sal. Dev]]-Tabla51210[[#This Row],[Ausencias]]+Tabla51210[[#This Row],[pago x Vacaciones]]-Tabla51210[[#This Row],[importe Seg Social]]-Tabla51210[[#This Row],[Imp. Sobr. Ing. Per 3% (3260.00-9510.00)]]</f>
        <v>7222.5</v>
      </c>
      <c r="Q43" s="174"/>
    </row>
    <row r="44" spans="1:17" ht="64.3" customHeight="1">
      <c r="A44" s="202">
        <v>28</v>
      </c>
      <c r="B44" s="201" t="str">
        <f>VLOOKUP(Tabla51210[[#This Row],[No. Exp]],Tabla6[],2)</f>
        <v>Nestor Suárez Martínez</v>
      </c>
      <c r="C44" s="203" t="str">
        <f>VLOOKUP(Tabla51210[[#This Row],[No. Exp]],Tabla6[],3)</f>
        <v>92102030581</v>
      </c>
      <c r="D44" s="240">
        <f>D43</f>
        <v>192</v>
      </c>
      <c r="E44" s="240">
        <f>VLOOKUP(Tabla51210[[#This Row],[No. Exp]],Tabla6[],5)</f>
        <v>40.625</v>
      </c>
      <c r="F44" s="241">
        <f>ROUND(Tabla51210[[#This Row],[Horas Trabajadas]]*Tabla51210[[#This Row],[Tarifas x horas ]],0)</f>
        <v>7800</v>
      </c>
      <c r="G44" s="241"/>
      <c r="H44" s="242">
        <f>Tabla51210[[#This Row],[Salario Básico]]+Tabla51210[[#This Row],[Bonif]]</f>
        <v>7800</v>
      </c>
      <c r="I44" s="244"/>
      <c r="J44" s="246"/>
      <c r="K44" s="241">
        <f>Tabla51210[[#This Row],[Sal. Dev]]/24*Tabla51210[[#This Row],[Vacaciones]]</f>
        <v>0</v>
      </c>
      <c r="L44" s="242">
        <f>Tabla51210[[#This Row],[Sal. Dev]]-Tabla51210[[#This Row],[Ausencias]]+Tabla51210[[#This Row],[pago x Vacaciones]]</f>
        <v>7800</v>
      </c>
      <c r="M44" s="241">
        <f>5%*Tabla51210[[#This Row],[Salario Neto]]</f>
        <v>390</v>
      </c>
      <c r="N44" s="240">
        <f t="shared" si="2"/>
        <v>187.5</v>
      </c>
      <c r="O44" s="240"/>
      <c r="P44" s="247">
        <f>Tabla51210[[#This Row],[Sal. Dev]]-Tabla51210[[#This Row],[Ausencias]]+Tabla51210[[#This Row],[pago x Vacaciones]]-Tabla51210[[#This Row],[importe Seg Social]]-Tabla51210[[#This Row],[Imp. Sobr. Ing. Per 3% (3260.00-9510.00)]]</f>
        <v>7222.5</v>
      </c>
      <c r="Q44" s="174"/>
    </row>
    <row r="45" spans="1:17" ht="55.75" customHeight="1">
      <c r="A45" s="202">
        <v>29</v>
      </c>
      <c r="B45" s="201" t="str">
        <f>VLOOKUP(Tabla51210[[#This Row],[No. Exp]],Tabla6[],2)</f>
        <v>Rafael Arias Aldana</v>
      </c>
      <c r="C45" s="203" t="str">
        <f>VLOOKUP(Tabla51210[[#This Row],[No. Exp]],Tabla6[],3)</f>
        <v>99120607402</v>
      </c>
      <c r="D45" s="240">
        <f t="shared" ref="D45" si="4">D43</f>
        <v>192</v>
      </c>
      <c r="E45" s="240">
        <f>VLOOKUP(Tabla51210[[#This Row],[No. Exp]],Tabla6[],5)</f>
        <v>40.625</v>
      </c>
      <c r="F45" s="241">
        <f>ROUND(Tabla51210[[#This Row],[Horas Trabajadas]]*Tabla51210[[#This Row],[Tarifas x horas ]],0)</f>
        <v>7800</v>
      </c>
      <c r="G45" s="241"/>
      <c r="H45" s="242">
        <f>Tabla51210[[#This Row],[Salario Básico]]+Tabla51210[[#This Row],[Bonif]]</f>
        <v>7800</v>
      </c>
      <c r="I45" s="244"/>
      <c r="J45" s="246"/>
      <c r="K45" s="241">
        <f>Tabla51210[[#This Row],[Sal. Dev]]/24*Tabla51210[[#This Row],[Vacaciones]]</f>
        <v>0</v>
      </c>
      <c r="L45" s="242">
        <f>Tabla51210[[#This Row],[Sal. Dev]]-Tabla51210[[#This Row],[Ausencias]]+Tabla51210[[#This Row],[pago x Vacaciones]]</f>
        <v>7800</v>
      </c>
      <c r="M45" s="241">
        <f>5%*Tabla51210[[#This Row],[Salario Neto]]</f>
        <v>390</v>
      </c>
      <c r="N45" s="240">
        <f t="shared" si="2"/>
        <v>187.5</v>
      </c>
      <c r="O45" s="240"/>
      <c r="P45" s="247">
        <f>Tabla51210[[#This Row],[Sal. Dev]]-Tabla51210[[#This Row],[Ausencias]]+Tabla51210[[#This Row],[pago x Vacaciones]]-Tabla51210[[#This Row],[importe Seg Social]]-Tabla51210[[#This Row],[Imp. Sobr. Ing. Per 3% (3260.00-9510.00)]]</f>
        <v>7222.5</v>
      </c>
      <c r="Q45" s="174"/>
    </row>
    <row r="46" spans="1:17" ht="66" customHeight="1">
      <c r="A46" s="202">
        <v>94</v>
      </c>
      <c r="B46" s="248" t="str">
        <f>VLOOKUP(Tabla51210[[#This Row],[No. Exp]],Tabla6[],2)</f>
        <v>Morganti Sollet Matos</v>
      </c>
      <c r="C46" s="202" t="str">
        <f>VLOOKUP(Tabla51210[[#This Row],[No. Exp]],Tabla6[],3)</f>
        <v>02111067446</v>
      </c>
      <c r="D46" s="249">
        <v>192</v>
      </c>
      <c r="E46" s="240">
        <f>VLOOKUP(Tabla51210[[#This Row],[No. Exp]],Tabla6[],5)</f>
        <v>40.625</v>
      </c>
      <c r="F46" s="244">
        <f>ROUND(Tabla51210[[#This Row],[Horas Trabajadas]]*Tabla51210[[#This Row],[Tarifas x horas ]],0)</f>
        <v>7800</v>
      </c>
      <c r="G46" s="244"/>
      <c r="H46" s="243">
        <f>Tabla51210[[#This Row],[Salario Básico]]+Tabla51210[[#This Row],[Bonif]]</f>
        <v>7800</v>
      </c>
      <c r="I46" s="244"/>
      <c r="J46" s="246"/>
      <c r="K46" s="241">
        <f>Tabla51210[[#This Row],[Sal. Dev]]/24*Tabla51210[[#This Row],[Vacaciones]]</f>
        <v>0</v>
      </c>
      <c r="L46" s="242">
        <f>Tabla51210[[#This Row],[Sal. Dev]]-Tabla51210[[#This Row],[Ausencias]]+Tabla51210[[#This Row],[pago x Vacaciones]]</f>
        <v>7800</v>
      </c>
      <c r="M46" s="241">
        <f>5%*Tabla51210[[#This Row],[Salario Neto]]</f>
        <v>390</v>
      </c>
      <c r="N46" s="240">
        <f t="shared" si="2"/>
        <v>187.5</v>
      </c>
      <c r="O46" s="240"/>
      <c r="P46" s="247">
        <f>Tabla51210[[#This Row],[Sal. Dev]]-Tabla51210[[#This Row],[Ausencias]]+Tabla51210[[#This Row],[pago x Vacaciones]]-Tabla51210[[#This Row],[importe Seg Social]]-Tabla51210[[#This Row],[Imp. Sobr. Ing. Per 3% (3260.00-9510.00)]]</f>
        <v>7222.5</v>
      </c>
      <c r="Q46" s="174"/>
    </row>
    <row r="47" spans="1:17" ht="71.150000000000006" customHeight="1">
      <c r="A47" s="202">
        <v>95</v>
      </c>
      <c r="B47" s="248" t="str">
        <f>VLOOKUP(Tabla51210[[#This Row],[No. Exp]],Tabla6[],2)</f>
        <v>Favio Alameda Cuevas</v>
      </c>
      <c r="C47" s="202">
        <f>VLOOKUP(Tabla51210[[#This Row],[No. Exp]],Tabla6[],3)</f>
        <v>96113009646</v>
      </c>
      <c r="D47" s="249">
        <v>192</v>
      </c>
      <c r="E47" s="240">
        <f>VLOOKUP(Tabla51210[[#This Row],[No. Exp]],Tabla6[],5)</f>
        <v>40.625</v>
      </c>
      <c r="F47" s="244">
        <f>ROUND(Tabla51210[[#This Row],[Horas Trabajadas]]*Tabla51210[[#This Row],[Tarifas x horas ]],0)</f>
        <v>7800</v>
      </c>
      <c r="G47" s="244"/>
      <c r="H47" s="243">
        <f>Tabla51210[[#This Row],[Salario Básico]]+Tabla51210[[#This Row],[Bonif]]</f>
        <v>7800</v>
      </c>
      <c r="I47" s="244"/>
      <c r="J47" s="246"/>
      <c r="K47" s="241">
        <f>Tabla51210[[#This Row],[Sal. Dev]]/24*Tabla51210[[#This Row],[Vacaciones]]</f>
        <v>0</v>
      </c>
      <c r="L47" s="242">
        <f>Tabla51210[[#This Row],[Sal. Dev]]-Tabla51210[[#This Row],[Ausencias]]+Tabla51210[[#This Row],[pago x Vacaciones]]</f>
        <v>7800</v>
      </c>
      <c r="M47" s="241">
        <f>5%*Tabla51210[[#This Row],[Salario Neto]]</f>
        <v>390</v>
      </c>
      <c r="N47" s="240">
        <f t="shared" si="2"/>
        <v>187.5</v>
      </c>
      <c r="O47" s="240"/>
      <c r="P47" s="247">
        <f>Tabla51210[[#This Row],[Sal. Dev]]-Tabla51210[[#This Row],[Ausencias]]+Tabla51210[[#This Row],[pago x Vacaciones]]-Tabla51210[[#This Row],[importe Seg Social]]-Tabla51210[[#This Row],[Imp. Sobr. Ing. Per 3% (3260.00-9510.00)]]</f>
        <v>7222.5</v>
      </c>
      <c r="Q47" s="174"/>
    </row>
    <row r="48" spans="1:17" ht="78" customHeight="1">
      <c r="A48" s="202">
        <v>101</v>
      </c>
      <c r="B48" s="248" t="str">
        <f>VLOOKUP(Tabla51210[[#This Row],[No. Exp]],Tabla6[],2)</f>
        <v>Samuel Fernández Suárez</v>
      </c>
      <c r="C48" s="202" t="str">
        <f>VLOOKUP(Tabla51210[[#This Row],[No. Exp]],Tabla6[],3)</f>
        <v>98122020021</v>
      </c>
      <c r="D48" s="249">
        <v>192</v>
      </c>
      <c r="E48" s="240">
        <f>VLOOKUP(Tabla51210[[#This Row],[No. Exp]],Tabla6[],5)</f>
        <v>40.625</v>
      </c>
      <c r="F48" s="244">
        <f>ROUND(Tabla51210[[#This Row],[Horas Trabajadas]]*Tabla51210[[#This Row],[Tarifas x horas ]],0)</f>
        <v>7800</v>
      </c>
      <c r="G48" s="244"/>
      <c r="H48" s="243">
        <f>Tabla51210[[#This Row],[Salario Básico]]+Tabla51210[[#This Row],[Bonif]]</f>
        <v>7800</v>
      </c>
      <c r="I48" s="244"/>
      <c r="J48" s="246"/>
      <c r="K48" s="241">
        <f>Tabla51210[[#This Row],[Sal. Dev]]/24*Tabla51210[[#This Row],[Vacaciones]]</f>
        <v>0</v>
      </c>
      <c r="L48" s="242">
        <f>Tabla51210[[#This Row],[Sal. Dev]]-Tabla51210[[#This Row],[Ausencias]]+Tabla51210[[#This Row],[pago x Vacaciones]]</f>
        <v>7800</v>
      </c>
      <c r="M48" s="241">
        <f>5%*Tabla51210[[#This Row],[Salario Neto]]</f>
        <v>390</v>
      </c>
      <c r="N48" s="240">
        <f t="shared" si="2"/>
        <v>187.5</v>
      </c>
      <c r="O48" s="240"/>
      <c r="P48" s="247">
        <f>Tabla51210[[#This Row],[Sal. Dev]]-Tabla51210[[#This Row],[Ausencias]]+Tabla51210[[#This Row],[pago x Vacaciones]]-Tabla51210[[#This Row],[importe Seg Social]]-Tabla51210[[#This Row],[Imp. Sobr. Ing. Per 3% (3260.00-9510.00)]]</f>
        <v>7222.5</v>
      </c>
      <c r="Q48" s="174"/>
    </row>
    <row r="49" spans="1:23" ht="71.150000000000006" customHeight="1">
      <c r="A49" s="200">
        <v>108</v>
      </c>
      <c r="B49" s="201" t="str">
        <f>VLOOKUP(Tabla51210[[#This Row],[No. Exp]],Tabla6[],2)</f>
        <v xml:space="preserve">Enmanuel Oscar Fonseca Heredia  </v>
      </c>
      <c r="C49" s="203">
        <f>VLOOKUP(Tabla51210[[#This Row],[No. Exp]],Tabla6[],3)</f>
        <v>87110730906</v>
      </c>
      <c r="D49" s="240">
        <v>192</v>
      </c>
      <c r="E49" s="240">
        <f>VLOOKUP(Tabla51210[[#This Row],[No. Exp]],Tabla6[],5)</f>
        <v>40.625</v>
      </c>
      <c r="F49" s="241">
        <f>ROUND(Tabla51210[[#This Row],[Horas Trabajadas]]*Tabla51210[[#This Row],[Tarifas x horas ]],0)</f>
        <v>7800</v>
      </c>
      <c r="G49" s="241"/>
      <c r="H49" s="242">
        <f>Tabla51210[[#This Row],[Salario Básico]]+Tabla51210[[#This Row],[Bonif]]</f>
        <v>7800</v>
      </c>
      <c r="I49" s="244"/>
      <c r="J49" s="246"/>
      <c r="K49" s="241">
        <f>Tabla51210[[#This Row],[Sal. Dev]]/24*Tabla51210[[#This Row],[Vacaciones]]</f>
        <v>0</v>
      </c>
      <c r="L49" s="243">
        <f>Tabla51210[[#This Row],[Sal. Dev]]-Tabla51210[[#This Row],[Ausencias]]+Tabla51210[[#This Row],[pago x Vacaciones]]</f>
        <v>7800</v>
      </c>
      <c r="M49" s="244">
        <f>5%*Tabla51210[[#This Row],[Salario Neto]]</f>
        <v>390</v>
      </c>
      <c r="N49" s="240">
        <f t="shared" si="2"/>
        <v>187.5</v>
      </c>
      <c r="O49" s="240"/>
      <c r="P49" s="245">
        <f>Tabla51210[[#This Row],[Sal. Dev]]-Tabla51210[[#This Row],[Ausencias]]+Tabla51210[[#This Row],[pago x Vacaciones]]-Tabla51210[[#This Row],[importe Seg Social]]-Tabla51210[[#This Row],[Imp. Sobr. Ing. Per 3% (3260.00-9510.00)]]</f>
        <v>7222.5</v>
      </c>
      <c r="Q49" s="174"/>
    </row>
    <row r="50" spans="1:23" s="154" customFormat="1" ht="53.6" customHeight="1">
      <c r="A50" s="250">
        <v>117</v>
      </c>
      <c r="B50" s="251" t="str">
        <f>VLOOKUP(Tabla51210[[#This Row],[No. Exp]],Tabla6[],2)</f>
        <v xml:space="preserve">Omar Soler Menéndez </v>
      </c>
      <c r="C50" s="252">
        <f>VLOOKUP(Tabla51210[[#This Row],[No. Exp]],Tabla6[],3)</f>
        <v>93080832509</v>
      </c>
      <c r="D50" s="253">
        <v>168</v>
      </c>
      <c r="E50" s="253">
        <f>VLOOKUP(Tabla51210[[#This Row],[No. Exp]],Tabla6[],5)</f>
        <v>40.625</v>
      </c>
      <c r="F50" s="254">
        <f>ROUND(Tabla51210[[#This Row],[Horas Trabajadas]]*Tabla51210[[#This Row],[Tarifas x horas ]],0)</f>
        <v>6825</v>
      </c>
      <c r="G50" s="254"/>
      <c r="H50" s="255">
        <f>Tabla51210[[#This Row],[Salario Básico]]+Tabla51210[[#This Row],[Bonif]]</f>
        <v>6825</v>
      </c>
      <c r="I50" s="256"/>
      <c r="J50" s="257"/>
      <c r="K50" s="254">
        <f>Tabla51210[[#This Row],[Sal. Dev]]/24*Tabla51210[[#This Row],[Vacaciones]]</f>
        <v>0</v>
      </c>
      <c r="L50" s="258">
        <f>Tabla51210[[#This Row],[Sal. Dev]]-Tabla51210[[#This Row],[Ausencias]]+Tabla51210[[#This Row],[pago x Vacaciones]]</f>
        <v>6825</v>
      </c>
      <c r="M50" s="256">
        <f>5%*Tabla51210[[#This Row],[Salario Neto]]</f>
        <v>341.25</v>
      </c>
      <c r="N50" s="253">
        <f t="shared" si="2"/>
        <v>187.5</v>
      </c>
      <c r="O50" s="253"/>
      <c r="P50" s="259">
        <f>Tabla51210[[#This Row],[Sal. Dev]]-Tabla51210[[#This Row],[Ausencias]]+Tabla51210[[#This Row],[pago x Vacaciones]]-Tabla51210[[#This Row],[importe Seg Social]]-Tabla51210[[#This Row],[Imp. Sobr. Ing. Per 3% (3260.00-9510.00)]]</f>
        <v>6296.25</v>
      </c>
      <c r="Q50" s="174"/>
      <c r="R50" s="140"/>
      <c r="S50" s="140"/>
      <c r="T50" s="140"/>
      <c r="U50" s="140"/>
      <c r="V50" s="140"/>
      <c r="W50" s="140"/>
    </row>
    <row r="51" spans="1:23" s="154" customFormat="1" ht="53.6" customHeight="1">
      <c r="A51" s="250">
        <v>120</v>
      </c>
      <c r="B51" s="251" t="str">
        <f>VLOOKUP(Tabla51210[[#This Row],[No. Exp]],Tabla6[],2)</f>
        <v>Victor Damián Quesada Mojena</v>
      </c>
      <c r="C51" s="252">
        <f>VLOOKUP(Tabla51210[[#This Row],[No. Exp]],Tabla6[],3)</f>
        <v>88012805789</v>
      </c>
      <c r="D51" s="253">
        <v>192</v>
      </c>
      <c r="E51" s="253">
        <f>VLOOKUP(Tabla51210[[#This Row],[No. Exp]],Tabla6[],5)</f>
        <v>40.625</v>
      </c>
      <c r="F51" s="254">
        <f>ROUND(Tabla51210[[#This Row],[Horas Trabajadas]]*Tabla51210[[#This Row],[Tarifas x horas ]],0)</f>
        <v>7800</v>
      </c>
      <c r="G51" s="254"/>
      <c r="H51" s="255">
        <f>Tabla51210[[#This Row],[Salario Básico]]+Tabla51210[[#This Row],[Bonif]]</f>
        <v>7800</v>
      </c>
      <c r="I51" s="256"/>
      <c r="J51" s="257"/>
      <c r="K51" s="254">
        <f>Tabla51210[[#This Row],[Sal. Dev]]/24*Tabla51210[[#This Row],[Vacaciones]]</f>
        <v>0</v>
      </c>
      <c r="L51" s="258">
        <f>Tabla51210[[#This Row],[Sal. Dev]]-Tabla51210[[#This Row],[Ausencias]]+Tabla51210[[#This Row],[pago x Vacaciones]]</f>
        <v>7800</v>
      </c>
      <c r="M51" s="256">
        <f>5%*Tabla51210[[#This Row],[Salario Neto]]</f>
        <v>390</v>
      </c>
      <c r="N51" s="253">
        <f t="shared" si="2"/>
        <v>187.5</v>
      </c>
      <c r="O51" s="253"/>
      <c r="P51" s="259">
        <f>Tabla51210[[#This Row],[Sal. Dev]]-Tabla51210[[#This Row],[Ausencias]]+Tabla51210[[#This Row],[pago x Vacaciones]]-Tabla51210[[#This Row],[importe Seg Social]]-Tabla51210[[#This Row],[Imp. Sobr. Ing. Per 3% (3260.00-9510.00)]]</f>
        <v>7222.5</v>
      </c>
      <c r="Q51" s="174"/>
      <c r="R51" s="140"/>
      <c r="S51" s="140"/>
      <c r="T51" s="140"/>
      <c r="U51" s="140"/>
      <c r="V51" s="140"/>
      <c r="W51" s="140"/>
    </row>
    <row r="52" spans="1:23" s="154" customFormat="1" ht="73.75" customHeight="1">
      <c r="A52" s="250">
        <v>123</v>
      </c>
      <c r="B52" s="251" t="str">
        <f>VLOOKUP(Tabla51210[[#This Row],[No. Exp]],Tabla6[],2)</f>
        <v>Erick De León Pedroso</v>
      </c>
      <c r="C52" s="252">
        <f>VLOOKUP(Tabla51210[[#This Row],[No. Exp]],Tabla6[],3)</f>
        <v>91051527860</v>
      </c>
      <c r="D52" s="253">
        <v>232</v>
      </c>
      <c r="E52" s="253">
        <f>VLOOKUP(Tabla51210[[#This Row],[No. Exp]],Tabla6[],5)</f>
        <v>40.625</v>
      </c>
      <c r="F52" s="254">
        <f>ROUND(Tabla51210[[#This Row],[Horas Trabajadas]]*Tabla51210[[#This Row],[Tarifas x horas ]],0)</f>
        <v>9425</v>
      </c>
      <c r="G52" s="254"/>
      <c r="H52" s="255">
        <f>Tabla51210[[#This Row],[Salario Básico]]+Tabla51210[[#This Row],[Bonif]]</f>
        <v>9425</v>
      </c>
      <c r="I52" s="256"/>
      <c r="J52" s="257"/>
      <c r="K52" s="254">
        <f>Tabla51210[[#This Row],[Sal. Dev]]/24*Tabla51210[[#This Row],[Vacaciones]]</f>
        <v>0</v>
      </c>
      <c r="L52" s="258">
        <f>Tabla51210[[#This Row],[Sal. Dev]]-Tabla51210[[#This Row],[Ausencias]]+Tabla51210[[#This Row],[pago x Vacaciones]]</f>
        <v>9425</v>
      </c>
      <c r="M52" s="256">
        <f>5%*Tabla51210[[#This Row],[Salario Neto]]</f>
        <v>471.25</v>
      </c>
      <c r="N52" s="253">
        <f t="shared" si="2"/>
        <v>187.5</v>
      </c>
      <c r="O52" s="253"/>
      <c r="P52" s="259">
        <f>Tabla51210[[#This Row],[Sal. Dev]]-Tabla51210[[#This Row],[Ausencias]]+Tabla51210[[#This Row],[pago x Vacaciones]]-Tabla51210[[#This Row],[importe Seg Social]]-Tabla51210[[#This Row],[Imp. Sobr. Ing. Per 3% (3260.00-9510.00)]]</f>
        <v>8766.25</v>
      </c>
      <c r="Q52" s="174"/>
      <c r="R52" s="140"/>
      <c r="S52" s="140"/>
      <c r="T52" s="140"/>
      <c r="U52" s="140"/>
      <c r="V52" s="140"/>
      <c r="W52" s="140"/>
    </row>
    <row r="53" spans="1:23" s="154" customFormat="1" ht="94.3" customHeight="1">
      <c r="A53" s="250">
        <v>111</v>
      </c>
      <c r="B53" s="251" t="str">
        <f>VLOOKUP(Tabla51210[[#This Row],[No. Exp]],Tabla6[],2)</f>
        <v>Cristhian Camilo Cruz Napoles</v>
      </c>
      <c r="C53" s="252" t="str">
        <f>VLOOKUP(Tabla51210[[#This Row],[No. Exp]],Tabla6[],3)</f>
        <v>01092576745</v>
      </c>
      <c r="D53" s="253">
        <v>192</v>
      </c>
      <c r="E53" s="253">
        <f>VLOOKUP(Tabla51210[[#This Row],[No. Exp]],Tabla6[],5)</f>
        <v>40.625</v>
      </c>
      <c r="F53" s="254">
        <f>ROUND(Tabla51210[[#This Row],[Horas Trabajadas]]*Tabla51210[[#This Row],[Tarifas x horas ]],0)</f>
        <v>7800</v>
      </c>
      <c r="G53" s="254"/>
      <c r="H53" s="255">
        <f>Tabla51210[[#This Row],[Salario Básico]]+Tabla51210[[#This Row],[Bonif]]</f>
        <v>7800</v>
      </c>
      <c r="I53" s="256"/>
      <c r="J53" s="257"/>
      <c r="K53" s="254">
        <f>Tabla51210[[#This Row],[Sal. Dev]]/24*Tabla51210[[#This Row],[Vacaciones]]</f>
        <v>0</v>
      </c>
      <c r="L53" s="258">
        <f>Tabla51210[[#This Row],[Sal. Dev]]-Tabla51210[[#This Row],[Ausencias]]+Tabla51210[[#This Row],[pago x Vacaciones]]</f>
        <v>7800</v>
      </c>
      <c r="M53" s="256">
        <f>5%*Tabla51210[[#This Row],[Salario Neto]]</f>
        <v>390</v>
      </c>
      <c r="N53" s="253">
        <f t="shared" si="2"/>
        <v>187.5</v>
      </c>
      <c r="O53" s="253"/>
      <c r="P53" s="259">
        <f>Tabla51210[[#This Row],[Sal. Dev]]-Tabla51210[[#This Row],[Ausencias]]+Tabla51210[[#This Row],[pago x Vacaciones]]-Tabla51210[[#This Row],[importe Seg Social]]-Tabla51210[[#This Row],[Imp. Sobr. Ing. Per 3% (3260.00-9510.00)]]</f>
        <v>7222.5</v>
      </c>
      <c r="Q53" s="174"/>
      <c r="R53" s="140"/>
      <c r="S53" s="140"/>
      <c r="T53" s="140"/>
      <c r="U53" s="140"/>
      <c r="V53" s="140"/>
      <c r="W53" s="140"/>
    </row>
    <row r="54" spans="1:23" s="154" customFormat="1" ht="99.9" customHeight="1">
      <c r="A54" s="250">
        <v>109</v>
      </c>
      <c r="B54" s="251" t="str">
        <f>VLOOKUP(Tabla51210[[#This Row],[No. Exp]],Tabla6[],2)</f>
        <v>Cristian David Pantaleón Averhoff</v>
      </c>
      <c r="C54" s="252" t="str">
        <f>VLOOKUP(Tabla51210[[#This Row],[No. Exp]],Tabla6[],3)</f>
        <v>05042178048</v>
      </c>
      <c r="D54" s="253">
        <v>192</v>
      </c>
      <c r="E54" s="253">
        <f>VLOOKUP(Tabla51210[[#This Row],[No. Exp]],Tabla6[],5)</f>
        <v>40.625</v>
      </c>
      <c r="F54" s="254">
        <f>ROUND(Tabla51210[[#This Row],[Horas Trabajadas]]*Tabla51210[[#This Row],[Tarifas x horas ]],0)</f>
        <v>7800</v>
      </c>
      <c r="G54" s="254"/>
      <c r="H54" s="255">
        <f>Tabla51210[[#This Row],[Salario Básico]]+Tabla51210[[#This Row],[Bonif]]</f>
        <v>7800</v>
      </c>
      <c r="I54" s="256"/>
      <c r="J54" s="257"/>
      <c r="K54" s="254"/>
      <c r="L54" s="258">
        <f>Tabla51210[[#This Row],[Sal. Dev]]-Tabla51210[[#This Row],[Ausencias]]+Tabla51210[[#This Row],[pago x Vacaciones]]</f>
        <v>7800</v>
      </c>
      <c r="M54" s="256">
        <f>5%*Tabla51210[[#This Row],[Salario Neto]]</f>
        <v>390</v>
      </c>
      <c r="N54" s="260">
        <f>(9510-3260)*3%</f>
        <v>187.5</v>
      </c>
      <c r="O54" s="253"/>
      <c r="P54" s="259">
        <f>Tabla51210[[#This Row],[Sal. Dev]]-Tabla51210[[#This Row],[Ausencias]]+Tabla51210[[#This Row],[pago x Vacaciones]]-Tabla51210[[#This Row],[importe Seg Social]]-Tabla51210[[#This Row],[Imp. Sobr. Ing. Per 3% (3260.00-9510.00)]]</f>
        <v>7222.5</v>
      </c>
      <c r="Q54" s="174"/>
      <c r="R54" s="140"/>
      <c r="S54" s="140"/>
      <c r="T54" s="140"/>
      <c r="U54" s="140"/>
      <c r="V54" s="140"/>
      <c r="W54" s="140"/>
    </row>
    <row r="55" spans="1:23" ht="32.6">
      <c r="A55" s="200"/>
      <c r="B55" s="201"/>
      <c r="C55" s="203"/>
      <c r="D55" s="261"/>
      <c r="E55" s="261"/>
      <c r="F55" s="200"/>
      <c r="G55" s="200"/>
      <c r="H55" s="262"/>
      <c r="I55" s="202"/>
      <c r="J55" s="263"/>
      <c r="K55" s="200"/>
      <c r="L55" s="264"/>
      <c r="M55" s="202"/>
      <c r="N55" s="261"/>
      <c r="O55" s="265"/>
      <c r="P55" s="202"/>
      <c r="Q55" s="174"/>
    </row>
    <row r="56" spans="1:23">
      <c r="A56" s="193"/>
      <c r="B56" s="194"/>
      <c r="C56" s="193"/>
      <c r="D56" s="195"/>
      <c r="E56" s="174"/>
      <c r="F56" s="174"/>
      <c r="G56" s="193"/>
      <c r="H56" s="186"/>
      <c r="I56" s="193"/>
      <c r="J56" s="180"/>
      <c r="K56" s="188"/>
      <c r="L56" s="192"/>
      <c r="M56" s="188"/>
      <c r="N56" s="191"/>
      <c r="O56" s="196"/>
      <c r="P56" s="174"/>
      <c r="Q56" s="174"/>
    </row>
    <row r="57" spans="1:23">
      <c r="A57" s="193"/>
      <c r="B57" s="194"/>
      <c r="C57" s="193"/>
      <c r="D57" s="195"/>
      <c r="E57" s="174"/>
      <c r="F57" s="174"/>
      <c r="G57" s="193"/>
      <c r="H57" s="186"/>
      <c r="I57" s="193"/>
      <c r="J57" s="180"/>
      <c r="K57" s="188"/>
      <c r="L57" s="192"/>
      <c r="M57" s="188"/>
      <c r="N57" s="191"/>
      <c r="O57" s="196"/>
      <c r="P57" s="174"/>
      <c r="Q57" s="174"/>
    </row>
    <row r="58" spans="1:23">
      <c r="A58" s="155"/>
      <c r="B58" s="153"/>
      <c r="C58" s="155"/>
      <c r="D58" s="156"/>
      <c r="G58" s="155"/>
      <c r="H58" s="144"/>
      <c r="I58" s="155"/>
      <c r="J58" s="143"/>
      <c r="K58" s="148"/>
      <c r="L58" s="157"/>
      <c r="M58" s="148"/>
      <c r="N58" s="149"/>
      <c r="O58" s="151"/>
    </row>
    <row r="59" spans="1:23">
      <c r="A59" s="155"/>
      <c r="B59" s="153"/>
      <c r="C59" s="155"/>
      <c r="D59" s="156"/>
      <c r="G59" s="155"/>
      <c r="H59" s="144"/>
      <c r="I59" s="155"/>
      <c r="J59" s="143"/>
      <c r="K59" s="148"/>
      <c r="L59" s="157"/>
      <c r="M59" s="148"/>
      <c r="N59" s="149"/>
      <c r="O59" s="151"/>
    </row>
    <row r="60" spans="1:23">
      <c r="A60" s="155"/>
      <c r="C60" s="155"/>
      <c r="D60" s="156"/>
      <c r="G60" s="155"/>
      <c r="H60" s="144"/>
      <c r="I60" s="155"/>
      <c r="J60" s="143"/>
      <c r="K60" s="148"/>
      <c r="L60" s="157"/>
      <c r="M60" s="148"/>
      <c r="N60" s="149"/>
      <c r="O60" s="151"/>
    </row>
    <row r="61" spans="1:23" ht="33.450000000000003">
      <c r="A61" s="155"/>
      <c r="B61" s="167"/>
      <c r="C61" s="155"/>
      <c r="D61" s="156"/>
      <c r="G61" s="155"/>
      <c r="H61" s="144"/>
      <c r="I61" s="155"/>
      <c r="J61" s="143"/>
      <c r="K61" s="148"/>
      <c r="L61" s="157"/>
      <c r="M61" s="148"/>
      <c r="N61" s="149"/>
      <c r="O61" s="151"/>
    </row>
    <row r="62" spans="1:23" ht="33.450000000000003">
      <c r="A62" s="155"/>
      <c r="B62" s="167"/>
      <c r="C62" s="155"/>
      <c r="D62" s="156"/>
      <c r="G62" s="155"/>
      <c r="H62" s="144"/>
      <c r="I62" s="155"/>
      <c r="J62" s="143"/>
      <c r="K62" s="148"/>
      <c r="L62" s="157"/>
      <c r="M62" s="148"/>
      <c r="N62" s="149"/>
      <c r="O62" s="151"/>
    </row>
    <row r="63" spans="1:23" ht="33.450000000000003">
      <c r="A63" s="155"/>
      <c r="B63" s="167"/>
      <c r="C63" s="155"/>
      <c r="D63" s="156"/>
      <c r="G63" s="155"/>
      <c r="H63" s="144"/>
      <c r="I63" s="155"/>
      <c r="J63" s="143"/>
      <c r="K63" s="148"/>
      <c r="L63" s="157"/>
      <c r="M63" s="148"/>
      <c r="N63" s="149"/>
      <c r="O63" s="151"/>
    </row>
    <row r="64" spans="1:23" ht="33.450000000000003">
      <c r="A64" s="155"/>
      <c r="B64" s="167"/>
      <c r="C64" s="155"/>
      <c r="D64" s="156"/>
      <c r="G64" s="155"/>
      <c r="H64" s="144"/>
      <c r="I64" s="155"/>
      <c r="J64" s="143"/>
      <c r="K64" s="148"/>
      <c r="L64" s="157"/>
      <c r="M64" s="148"/>
      <c r="N64" s="149"/>
      <c r="O64" s="151"/>
    </row>
    <row r="65" spans="1:33" ht="33.450000000000003">
      <c r="A65" s="155"/>
      <c r="B65" s="167"/>
      <c r="C65" s="155"/>
      <c r="D65" s="156"/>
      <c r="G65" s="155"/>
      <c r="H65" s="144"/>
      <c r="I65" s="155"/>
      <c r="J65" s="143"/>
      <c r="K65" s="148"/>
      <c r="L65" s="157"/>
      <c r="M65" s="148"/>
      <c r="N65" s="149"/>
      <c r="O65" s="151"/>
    </row>
    <row r="66" spans="1:33" ht="33.450000000000003">
      <c r="A66" s="155"/>
      <c r="B66" s="167" t="s">
        <v>243</v>
      </c>
      <c r="C66" s="155"/>
      <c r="D66" s="156"/>
      <c r="G66" s="155"/>
      <c r="H66" s="144"/>
      <c r="I66" s="155"/>
      <c r="J66" s="143"/>
      <c r="K66" s="148"/>
      <c r="L66" s="157"/>
      <c r="M66" s="148"/>
      <c r="N66" s="149"/>
      <c r="O66" s="151"/>
    </row>
    <row r="67" spans="1:33" ht="33.450000000000003">
      <c r="A67" s="155"/>
      <c r="B67" s="167"/>
      <c r="C67" s="155"/>
      <c r="D67" s="156"/>
      <c r="G67" s="155"/>
      <c r="H67" s="144"/>
      <c r="I67" s="155"/>
      <c r="J67" s="143"/>
      <c r="K67" s="148"/>
      <c r="L67" s="157"/>
      <c r="M67" s="148"/>
      <c r="N67" s="149"/>
      <c r="O67" s="151"/>
    </row>
    <row r="68" spans="1:33" ht="33.450000000000003">
      <c r="A68" s="155"/>
      <c r="B68" s="167"/>
      <c r="C68" s="155"/>
      <c r="D68" s="156"/>
      <c r="G68" s="155"/>
      <c r="H68" s="144"/>
      <c r="I68" s="155"/>
      <c r="J68" s="143"/>
      <c r="K68" s="148"/>
      <c r="L68" s="157"/>
      <c r="M68" s="148"/>
      <c r="N68" s="149"/>
      <c r="O68" s="151"/>
    </row>
    <row r="69" spans="1:33">
      <c r="A69" s="155"/>
      <c r="B69" s="153"/>
      <c r="C69" s="155"/>
      <c r="D69" s="156"/>
      <c r="G69" s="155"/>
      <c r="H69" s="144"/>
      <c r="I69" s="155"/>
      <c r="J69" s="143"/>
      <c r="K69" s="148"/>
      <c r="L69" s="157"/>
      <c r="M69" s="148"/>
      <c r="N69" s="149"/>
      <c r="O69" s="151"/>
    </row>
    <row r="70" spans="1:33" ht="45.45">
      <c r="A70" s="459" t="s">
        <v>0</v>
      </c>
      <c r="B70" s="459"/>
      <c r="C70" s="180"/>
      <c r="D70" s="180"/>
      <c r="E70" s="174"/>
      <c r="F70" s="174"/>
      <c r="G70" s="174"/>
      <c r="H70" s="174"/>
      <c r="I70" s="181" t="s">
        <v>1</v>
      </c>
      <c r="J70" s="181" t="s">
        <v>2</v>
      </c>
      <c r="K70" s="182">
        <f>K5</f>
        <v>45901</v>
      </c>
      <c r="L70" s="183" t="s">
        <v>3</v>
      </c>
      <c r="M70" s="182">
        <f>M5</f>
        <v>45930</v>
      </c>
      <c r="N70" s="181"/>
      <c r="O70" s="174"/>
      <c r="P70" s="174"/>
    </row>
    <row r="71" spans="1:33">
      <c r="A71" s="460" t="s">
        <v>4</v>
      </c>
      <c r="B71" s="460"/>
      <c r="C71" s="184" t="str">
        <f>C6</f>
        <v>Amanda Marcano Bahler</v>
      </c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</row>
    <row r="72" spans="1:33">
      <c r="A72" s="460" t="s">
        <v>5</v>
      </c>
      <c r="B72" s="460"/>
      <c r="C72" s="185"/>
      <c r="D72" s="174"/>
      <c r="E72" s="174"/>
      <c r="F72" s="174"/>
      <c r="G72" s="174"/>
      <c r="H72" s="174"/>
      <c r="I72" s="174"/>
      <c r="J72" s="174"/>
      <c r="K72" s="174"/>
      <c r="L72" s="174" t="str">
        <f>L7</f>
        <v>Horas:</v>
      </c>
      <c r="M72" s="184">
        <f>M7</f>
        <v>192</v>
      </c>
      <c r="N72" s="174"/>
      <c r="O72" s="174"/>
      <c r="P72" s="174"/>
    </row>
    <row r="73" spans="1:33">
      <c r="A73" s="174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</row>
    <row r="74" spans="1:33" ht="30">
      <c r="A74" s="465" t="s">
        <v>7</v>
      </c>
      <c r="B74" s="465"/>
      <c r="C74" s="187" t="s">
        <v>19</v>
      </c>
      <c r="D74" s="174"/>
      <c r="E74" s="174"/>
      <c r="F74" s="174"/>
      <c r="G74" s="174"/>
      <c r="H74" s="174"/>
      <c r="I74" s="174"/>
      <c r="J74" s="174"/>
      <c r="K74" s="174"/>
      <c r="L74" s="460" t="s">
        <v>9</v>
      </c>
      <c r="M74" s="460"/>
      <c r="N74" s="174"/>
      <c r="O74" s="174"/>
      <c r="P74" s="174"/>
    </row>
    <row r="75" spans="1:33" s="152" customFormat="1" ht="66.45" customHeight="1">
      <c r="A75" s="198" t="s">
        <v>10</v>
      </c>
      <c r="B75" s="198" t="s">
        <v>11</v>
      </c>
      <c r="C75" s="198" t="s">
        <v>12</v>
      </c>
      <c r="D75" s="198" t="s">
        <v>198</v>
      </c>
      <c r="E75" s="198" t="s">
        <v>190</v>
      </c>
      <c r="F75" s="198" t="s">
        <v>189</v>
      </c>
      <c r="G75" s="198" t="s">
        <v>14</v>
      </c>
      <c r="H75" s="199" t="s">
        <v>15</v>
      </c>
      <c r="I75" s="198" t="s">
        <v>197</v>
      </c>
      <c r="J75" s="198" t="s">
        <v>9</v>
      </c>
      <c r="K75" s="198" t="s">
        <v>16</v>
      </c>
      <c r="L75" s="198" t="s">
        <v>196</v>
      </c>
      <c r="M75" s="198" t="s">
        <v>194</v>
      </c>
      <c r="N75" s="198" t="s">
        <v>240</v>
      </c>
      <c r="O75" s="198" t="s">
        <v>241</v>
      </c>
      <c r="P75" s="199" t="s">
        <v>191</v>
      </c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61"/>
    </row>
    <row r="76" spans="1:33" ht="76.75" customHeight="1">
      <c r="A76" s="204">
        <v>30</v>
      </c>
      <c r="B76" s="205" t="str">
        <f>VLOOKUP(Tabla5121311[[#This Row],[No. Exp]],Tabla6[],2)</f>
        <v>María Eugenia Cuevas Aguilera</v>
      </c>
      <c r="C76" s="204">
        <f>VLOOKUP(Tabla5121311[[#This Row],[No. Exp]],Tabla6[],3)</f>
        <v>83120324816</v>
      </c>
      <c r="D76" s="206">
        <f>M72</f>
        <v>192</v>
      </c>
      <c r="E76" s="206">
        <f>VLOOKUP(Tabla5121311[[#This Row],[No. Exp]],Tabla6[],5)</f>
        <v>41.665999999999997</v>
      </c>
      <c r="F76" s="207">
        <f>ROUND(Tabla5121311[[#This Row],[Horas Trabajadas]]*Tabla5121311[[#This Row],[Tarifas por horas]],0)</f>
        <v>8000</v>
      </c>
      <c r="G76" s="207"/>
      <c r="H76" s="208">
        <f>Tabla5121311[[#This Row],[Salario Básico]]+Tabla5121311[[#This Row],[Bonif]]</f>
        <v>8000</v>
      </c>
      <c r="I76" s="207"/>
      <c r="J76" s="209">
        <v>7</v>
      </c>
      <c r="K76" s="206">
        <f>Tabla5121311[[#This Row],[Sal. Dev]]/24*Tabla5121311[[#This Row],[Vacaciones]]</f>
        <v>2333.333333333333</v>
      </c>
      <c r="L76" s="210">
        <f>Tabla5121311[[#This Row],[Sal. Dev]]-Tabla5121311[[#This Row],[Ausencias]]+Tabla5121311[[#This Row],[pago x vacaciones]]</f>
        <v>10333.333333333332</v>
      </c>
      <c r="M76" s="206">
        <f>5%*Tabla5121311[[#This Row],[Salario Neto]]</f>
        <v>516.66666666666663</v>
      </c>
      <c r="N76" s="206">
        <f>(9510-3260)*3%</f>
        <v>187.5</v>
      </c>
      <c r="O76" s="206">
        <f>(Tabla5121311[[#This Row],[Salario Neto]]-9510)*5%</f>
        <v>41.166666666666607</v>
      </c>
      <c r="P76" s="210">
        <f>Tabla5121311[[#This Row],[Sal. Dev]]-Tabla5121311[[#This Row],[Ausencias]]+Tabla5121311[[#This Row],[pago x vacaciones]]-Tabla5121311[[#This Row],[importe Seg Social]]-Tabla5121311[[#This Row],[Imp. Sobr. Ing. Per 3% (3260.00-9510.00)]]-Tabla5121311[[#This Row],[Imp. Sobr. Ing. Per 5% (9510.00-15000.00)]]</f>
        <v>9588</v>
      </c>
    </row>
    <row r="77" spans="1:33" ht="60" customHeight="1">
      <c r="A77" s="211">
        <v>31</v>
      </c>
      <c r="B77" s="225" t="str">
        <f>VLOOKUP(Tabla5121311[[#This Row],[No. Exp]],Tabla6[],2)</f>
        <v>Yadira Araújo Zaldívar</v>
      </c>
      <c r="C77" s="212">
        <f>VLOOKUP(Tabla5121311[[#This Row],[No. Exp]],Tabla6[],3)</f>
        <v>84082204876</v>
      </c>
      <c r="D77" s="226">
        <f>M72</f>
        <v>192</v>
      </c>
      <c r="E77" s="226">
        <f>VLOOKUP(Tabla5121311[[#This Row],[No. Exp]],Tabla6[],5)</f>
        <v>41.665999999999997</v>
      </c>
      <c r="F77" s="207">
        <f>ROUND(Tabla5121311[[#This Row],[Horas Trabajadas]]*Tabla5121311[[#This Row],[Tarifas por horas]],0)</f>
        <v>8000</v>
      </c>
      <c r="G77" s="207"/>
      <c r="H77" s="208">
        <f>Tabla5121311[[#This Row],[Salario Básico]]+Tabla5121311[[#This Row],[Bonif]]</f>
        <v>8000</v>
      </c>
      <c r="I77" s="208"/>
      <c r="J77" s="209"/>
      <c r="K77" s="207">
        <f>Tabla5121311[[#This Row],[Sal. Dev]]/24*Tabla5121311[[#This Row],[Vacaciones]]</f>
        <v>0</v>
      </c>
      <c r="L77" s="208">
        <f>Tabla5121311[[#This Row],[Sal. Dev]]-Tabla5121311[[#This Row],[Ausencias]]+Tabla5121311[[#This Row],[pago x vacaciones]]</f>
        <v>8000</v>
      </c>
      <c r="M77" s="207">
        <f>5%*Tabla5121311[[#This Row],[Salario Neto]]</f>
        <v>400</v>
      </c>
      <c r="N77" s="206">
        <f t="shared" ref="N77:N92" si="5">(9510-3260)*3%</f>
        <v>187.5</v>
      </c>
      <c r="O77" s="206"/>
      <c r="P77" s="210">
        <f>Tabla5121311[[#This Row],[Sal. Dev]]-Tabla5121311[[#This Row],[Ausencias]]+Tabla5121311[[#This Row],[pago x vacaciones]]-Tabla5121311[[#This Row],[importe Seg Social]]-Tabla5121311[[#This Row],[Imp. Sobr. Ing. Per 3% (3260.00-9510.00)]]</f>
        <v>7412.5</v>
      </c>
    </row>
    <row r="78" spans="1:33" ht="93.9" customHeight="1">
      <c r="A78" s="211">
        <v>32</v>
      </c>
      <c r="B78" s="205" t="str">
        <f>VLOOKUP(Tabla5121311[[#This Row],[No. Exp]],Tabla6[],2)</f>
        <v>Jaila Victoria Vázquez Delgado</v>
      </c>
      <c r="C78" s="212" t="str">
        <f>VLOOKUP(Tabla5121311[[#This Row],[No. Exp]],Tabla6[],3)</f>
        <v>02100773092</v>
      </c>
      <c r="D78" s="206">
        <f t="shared" ref="D78:D80" si="6">D77</f>
        <v>192</v>
      </c>
      <c r="E78" s="206">
        <f>VLOOKUP(Tabla5121311[[#This Row],[No. Exp]],Tabla6[],5)</f>
        <v>41.665999999999997</v>
      </c>
      <c r="F78" s="207">
        <f>ROUND(Tabla5121311[[#This Row],[Horas Trabajadas]]*Tabla5121311[[#This Row],[Tarifas por horas]],0)</f>
        <v>8000</v>
      </c>
      <c r="G78" s="207"/>
      <c r="H78" s="208">
        <f>Tabla5121311[[#This Row],[Salario Básico]]+Tabla5121311[[#This Row],[Bonif]]</f>
        <v>8000</v>
      </c>
      <c r="I78" s="208"/>
      <c r="J78" s="209">
        <v>10</v>
      </c>
      <c r="K78" s="206">
        <f>Tabla5121311[[#This Row],[Sal. Dev]]/24*Tabla5121311[[#This Row],[Vacaciones]]</f>
        <v>3333.333333333333</v>
      </c>
      <c r="L78" s="210">
        <f>Tabla5121311[[#This Row],[Sal. Dev]]-Tabla5121311[[#This Row],[Ausencias]]+Tabla5121311[[#This Row],[pago x vacaciones]]</f>
        <v>11333.333333333332</v>
      </c>
      <c r="M78" s="206">
        <f>5%*Tabla5121311[[#This Row],[Salario Neto]]</f>
        <v>566.66666666666663</v>
      </c>
      <c r="N78" s="206">
        <f t="shared" si="5"/>
        <v>187.5</v>
      </c>
      <c r="O78" s="206">
        <f>(Tabla5121311[[#This Row],[Salario Neto]]-9510)*5%</f>
        <v>91.166666666666615</v>
      </c>
      <c r="P78" s="210">
        <f>Tabla5121311[[#This Row],[Sal. Dev]]-Tabla5121311[[#This Row],[Ausencias]]+Tabla5121311[[#This Row],[pago x vacaciones]]-Tabla5121311[[#This Row],[importe Seg Social]]-Tabla5121311[[#This Row],[Imp. Sobr. Ing. Per 3% (3260.00-9510.00)]]-Tabla5121311[[#This Row],[Imp. Sobr. Ing. Per 5% (9510.00-15000.00)]]</f>
        <v>10488</v>
      </c>
    </row>
    <row r="79" spans="1:33" ht="92.6" customHeight="1">
      <c r="A79" s="211">
        <v>33</v>
      </c>
      <c r="B79" s="205" t="str">
        <f>VLOOKUP(Tabla5121311[[#This Row],[No. Exp]],Tabla6[],2)</f>
        <v>Daned Montesino Hernández</v>
      </c>
      <c r="C79" s="212" t="str">
        <f>VLOOKUP(Tabla5121311[[#This Row],[No. Exp]],Tabla6[],3)</f>
        <v>77020101011</v>
      </c>
      <c r="D79" s="206">
        <f t="shared" si="6"/>
        <v>192</v>
      </c>
      <c r="E79" s="206">
        <f>VLOOKUP(Tabla5121311[[#This Row],[No. Exp]],Tabla6[],5)</f>
        <v>41.665999999999997</v>
      </c>
      <c r="F79" s="207">
        <f>ROUND(Tabla5121311[[#This Row],[Horas Trabajadas]]*Tabla5121311[[#This Row],[Tarifas por horas]],0)</f>
        <v>8000</v>
      </c>
      <c r="G79" s="207"/>
      <c r="H79" s="208">
        <f>Tabla5121311[[#This Row],[Salario Básico]]+Tabla5121311[[#This Row],[Bonif]]</f>
        <v>8000</v>
      </c>
      <c r="I79" s="213"/>
      <c r="J79" s="209"/>
      <c r="K79" s="206">
        <f>Tabla5121311[[#This Row],[Sal. Dev]]/24*Tabla5121311[[#This Row],[Vacaciones]]</f>
        <v>0</v>
      </c>
      <c r="L79" s="227">
        <f>Tabla5121311[[#This Row],[Sal. Dev]]-Tabla5121311[[#This Row],[Ausencias]]+Tabla5121311[[#This Row],[pago x vacaciones]]</f>
        <v>8000</v>
      </c>
      <c r="M79" s="207">
        <f>5%*Tabla5121311[[#This Row],[Salario Neto]]</f>
        <v>400</v>
      </c>
      <c r="N79" s="206">
        <f t="shared" si="5"/>
        <v>187.5</v>
      </c>
      <c r="O79" s="206"/>
      <c r="P79" s="210">
        <f>Tabla5121311[[#This Row],[Sal. Dev]]-Tabla5121311[[#This Row],[Ausencias]]+Tabla5121311[[#This Row],[pago x vacaciones]]-Tabla5121311[[#This Row],[importe Seg Social]]-Tabla5121311[[#This Row],[Imp. Sobr. Ing. Per 3% (3260.00-9510.00)]]</f>
        <v>7412.5</v>
      </c>
    </row>
    <row r="80" spans="1:33" ht="44.15" customHeight="1">
      <c r="A80" s="211">
        <v>34</v>
      </c>
      <c r="B80" s="205" t="str">
        <f>VLOOKUP(Tabla5121311[[#This Row],[No. Exp]],Tabla6[],2)</f>
        <v>Lia León López</v>
      </c>
      <c r="C80" s="212" t="str">
        <f>VLOOKUP(Tabla5121311[[#This Row],[No. Exp]],Tabla6[],3)</f>
        <v>02051466891</v>
      </c>
      <c r="D80" s="206">
        <f t="shared" si="6"/>
        <v>192</v>
      </c>
      <c r="E80" s="206">
        <f>VLOOKUP(Tabla5121311[[#This Row],[No. Exp]],Tabla6[],5)</f>
        <v>41.665999999999997</v>
      </c>
      <c r="F80" s="207">
        <f>ROUND(Tabla5121311[[#This Row],[Horas Trabajadas]]*Tabla5121311[[#This Row],[Tarifas por horas]],0)</f>
        <v>8000</v>
      </c>
      <c r="G80" s="207"/>
      <c r="H80" s="208">
        <f>Tabla5121311[[#This Row],[Salario Básico]]+Tabla5121311[[#This Row],[Bonif]]</f>
        <v>8000</v>
      </c>
      <c r="I80" s="213"/>
      <c r="J80" s="209">
        <v>10</v>
      </c>
      <c r="K80" s="206">
        <f>Tabla5121311[[#This Row],[Sal. Dev]]/24*Tabla5121311[[#This Row],[Vacaciones]]</f>
        <v>3333.333333333333</v>
      </c>
      <c r="L80" s="210">
        <f>Tabla5121311[[#This Row],[Sal. Dev]]-Tabla5121311[[#This Row],[Ausencias]]+Tabla5121311[[#This Row],[pago x vacaciones]]</f>
        <v>11333.333333333332</v>
      </c>
      <c r="M80" s="206">
        <f>5%*Tabla5121311[[#This Row],[Salario Neto]]</f>
        <v>566.66666666666663</v>
      </c>
      <c r="N80" s="206">
        <f t="shared" si="5"/>
        <v>187.5</v>
      </c>
      <c r="O80" s="206">
        <f>(Tabla5121311[[#This Row],[Salario Neto]]-9510)*5%</f>
        <v>91.166666666666615</v>
      </c>
      <c r="P80" s="210">
        <f>Tabla5121311[[#This Row],[Sal. Dev]]-Tabla5121311[[#This Row],[Ausencias]]+Tabla5121311[[#This Row],[pago x vacaciones]]-Tabla5121311[[#This Row],[importe Seg Social]]-Tabla5121311[[#This Row],[Imp. Sobr. Ing. Per 3% (3260.00-9510.00)]]-Tabla5121311[[#This Row],[Imp. Sobr. Ing. Per 5% (9510.00-15000.00)]]</f>
        <v>10488</v>
      </c>
    </row>
    <row r="81" spans="1:19" ht="41.15" customHeight="1">
      <c r="A81" s="211">
        <v>36</v>
      </c>
      <c r="B81" s="205" t="str">
        <f>VLOOKUP(Tabla5121311[[#This Row],[No. Exp]],Tabla6[],2)</f>
        <v>Janet Martínez Rodríguez</v>
      </c>
      <c r="C81" s="212">
        <f>VLOOKUP(Tabla5121311[[#This Row],[No. Exp]],Tabla6[],3)</f>
        <v>76120900718</v>
      </c>
      <c r="D81" s="206">
        <v>192</v>
      </c>
      <c r="E81" s="206">
        <f>VLOOKUP(Tabla5121311[[#This Row],[No. Exp]],Tabla6[],5)</f>
        <v>41.665999999999997</v>
      </c>
      <c r="F81" s="207">
        <f>ROUND(Tabla5121311[[#This Row],[Horas Trabajadas]]*Tabla5121311[[#This Row],[Tarifas por horas]],0)</f>
        <v>8000</v>
      </c>
      <c r="G81" s="207"/>
      <c r="H81" s="208">
        <f>Tabla5121311[[#This Row],[Salario Básico]]+Tabla5121311[[#This Row],[Bonif]]</f>
        <v>8000</v>
      </c>
      <c r="I81" s="213"/>
      <c r="J81" s="209"/>
      <c r="K81" s="207">
        <f>Tabla5121311[[#This Row],[Sal. Dev]]/24*Tabla5121311[[#This Row],[Vacaciones]]</f>
        <v>0</v>
      </c>
      <c r="L81" s="208">
        <f>Tabla5121311[[#This Row],[Sal. Dev]]-Tabla5121311[[#This Row],[Ausencias]]+Tabla5121311[[#This Row],[pago x vacaciones]]</f>
        <v>8000</v>
      </c>
      <c r="M81" s="207">
        <f>5%*Tabla5121311[[#This Row],[Salario Neto]]</f>
        <v>400</v>
      </c>
      <c r="N81" s="206">
        <f t="shared" si="5"/>
        <v>187.5</v>
      </c>
      <c r="O81" s="206"/>
      <c r="P81" s="210">
        <f>Tabla5121311[[#This Row],[Sal. Dev]]-Tabla5121311[[#This Row],[Ausencias]]+Tabla5121311[[#This Row],[pago x vacaciones]]-Tabla5121311[[#This Row],[importe Seg Social]]-Tabla5121311[[#This Row],[Imp. Sobr. Ing. Per 3% (3260.00-9510.00)]]</f>
        <v>7412.5</v>
      </c>
    </row>
    <row r="82" spans="1:19" ht="72.45" customHeight="1">
      <c r="A82" s="211">
        <v>39</v>
      </c>
      <c r="B82" s="205" t="str">
        <f>VLOOKUP(Tabla5121311[[#This Row],[No. Exp]],Tabla6[],2)</f>
        <v>Elizabeth Hernández González</v>
      </c>
      <c r="C82" s="212">
        <f>VLOOKUP(Tabla5121311[[#This Row],[No. Exp]],Tabla6[],3)</f>
        <v>95111328273</v>
      </c>
      <c r="D82" s="206">
        <v>192</v>
      </c>
      <c r="E82" s="206">
        <f>VLOOKUP(Tabla5121311[[#This Row],[No. Exp]],Tabla6[],5)</f>
        <v>41.665999999999997</v>
      </c>
      <c r="F82" s="207">
        <f>ROUND(Tabla5121311[[#This Row],[Horas Trabajadas]]*Tabla5121311[[#This Row],[Tarifas por horas]],0)</f>
        <v>8000</v>
      </c>
      <c r="G82" s="207"/>
      <c r="H82" s="208">
        <f>Tabla5121311[[#This Row],[Salario Básico]]+Tabla5121311[[#This Row],[Bonif]]</f>
        <v>8000</v>
      </c>
      <c r="I82" s="213"/>
      <c r="J82" s="209"/>
      <c r="K82" s="207">
        <f>Tabla5121311[[#This Row],[Sal. Dev]]/24*Tabla5121311[[#This Row],[Vacaciones]]</f>
        <v>0</v>
      </c>
      <c r="L82" s="208">
        <f>Tabla5121311[[#This Row],[Sal. Dev]]-Tabla5121311[[#This Row],[Ausencias]]+Tabla5121311[[#This Row],[pago x vacaciones]]</f>
        <v>8000</v>
      </c>
      <c r="M82" s="207">
        <f>5%*Tabla5121311[[#This Row],[Salario Neto]]</f>
        <v>400</v>
      </c>
      <c r="N82" s="206">
        <f t="shared" si="5"/>
        <v>187.5</v>
      </c>
      <c r="O82" s="206"/>
      <c r="P82" s="210">
        <f>Tabla5121311[[#This Row],[Sal. Dev]]-Tabla5121311[[#This Row],[Ausencias]]+Tabla5121311[[#This Row],[pago x vacaciones]]-Tabla5121311[[#This Row],[importe Seg Social]]-Tabla5121311[[#This Row],[Imp. Sobr. Ing. Per 3% (3260.00-9510.00)]]</f>
        <v>7412.5</v>
      </c>
    </row>
    <row r="83" spans="1:19" ht="78" customHeight="1">
      <c r="A83" s="211">
        <v>40</v>
      </c>
      <c r="B83" s="205" t="str">
        <f>VLOOKUP(Tabla5121311[[#This Row],[No. Exp]],Tabla6[],2)</f>
        <v xml:space="preserve">Yunet de la Caridad Sotelo Porto </v>
      </c>
      <c r="C83" s="212" t="str">
        <f>VLOOKUP(Tabla5121311[[#This Row],[No. Exp]],Tabla6[],3)</f>
        <v>85032505213</v>
      </c>
      <c r="D83" s="206">
        <v>192</v>
      </c>
      <c r="E83" s="206">
        <f>VLOOKUP(Tabla5121311[[#This Row],[No. Exp]],Tabla6[],5)</f>
        <v>41.665999999999997</v>
      </c>
      <c r="F83" s="207">
        <f>ROUND(Tabla5121311[[#This Row],[Horas Trabajadas]]*Tabla5121311[[#This Row],[Tarifas por horas]],0)</f>
        <v>8000</v>
      </c>
      <c r="G83" s="207"/>
      <c r="H83" s="208">
        <f>Tabla5121311[[#This Row],[Salario Básico]]+Tabla5121311[[#This Row],[Bonif]]</f>
        <v>8000</v>
      </c>
      <c r="I83" s="213"/>
      <c r="J83" s="209"/>
      <c r="K83" s="207">
        <f>Tabla5121311[[#This Row],[Sal. Dev]]/24*Tabla5121311[[#This Row],[Vacaciones]]</f>
        <v>0</v>
      </c>
      <c r="L83" s="208">
        <f>Tabla5121311[[#This Row],[Sal. Dev]]-Tabla5121311[[#This Row],[Ausencias]]+Tabla5121311[[#This Row],[pago x vacaciones]]</f>
        <v>8000</v>
      </c>
      <c r="M83" s="207">
        <f>5%*Tabla5121311[[#This Row],[Salario Neto]]</f>
        <v>400</v>
      </c>
      <c r="N83" s="206">
        <f t="shared" si="5"/>
        <v>187.5</v>
      </c>
      <c r="O83" s="206"/>
      <c r="P83" s="210">
        <f>Tabla5121311[[#This Row],[Sal. Dev]]-Tabla5121311[[#This Row],[Ausencias]]+Tabla5121311[[#This Row],[pago x vacaciones]]-Tabla5121311[[#This Row],[importe Seg Social]]-Tabla5121311[[#This Row],[Imp. Sobr. Ing. Per 3% (3260.00-9510.00)]]</f>
        <v>7412.5</v>
      </c>
    </row>
    <row r="84" spans="1:19" s="158" customFormat="1" ht="66" customHeight="1">
      <c r="A84" s="228">
        <v>41</v>
      </c>
      <c r="B84" s="214" t="str">
        <f>VLOOKUP(Tabla5121311[[#This Row],[No. Exp]],Tabla6[],2)</f>
        <v>Michel del Sol Hernández</v>
      </c>
      <c r="C84" s="215" t="str">
        <f>VLOOKUP(Tabla5121311[[#This Row],[No. Exp]],Tabla6[],3)</f>
        <v>00010376089</v>
      </c>
      <c r="D84" s="216">
        <v>192</v>
      </c>
      <c r="E84" s="216">
        <f>VLOOKUP(Tabla5121311[[#This Row],[No. Exp]],Tabla6[],5)</f>
        <v>41.665999999999997</v>
      </c>
      <c r="F84" s="217">
        <f>ROUND(Tabla5121311[[#This Row],[Horas Trabajadas]]*Tabla5121311[[#This Row],[Tarifas por horas]],0)</f>
        <v>8000</v>
      </c>
      <c r="G84" s="217"/>
      <c r="H84" s="229">
        <f>Tabla5121311[[#This Row],[Salario Básico]]+Tabla5121311[[#This Row],[Bonif]]</f>
        <v>8000</v>
      </c>
      <c r="I84" s="218"/>
      <c r="J84" s="219">
        <v>19.62</v>
      </c>
      <c r="K84" s="216">
        <v>5186.24</v>
      </c>
      <c r="L84" s="220">
        <f>Tabla5121311[[#This Row],[Sal. Dev]]-Tabla5121311[[#This Row],[Ausencias]]+Tabla5121311[[#This Row],[pago x vacaciones]]</f>
        <v>13186.24</v>
      </c>
      <c r="M84" s="216">
        <f>5%*Tabla5121311[[#This Row],[Salario Neto]]</f>
        <v>659.31200000000001</v>
      </c>
      <c r="N84" s="216">
        <f t="shared" si="5"/>
        <v>187.5</v>
      </c>
      <c r="O84" s="216">
        <f>(Tabla5121311[[#This Row],[Salario Neto]]-9510)*5%</f>
        <v>183.81200000000001</v>
      </c>
      <c r="P84" s="220">
        <f>Tabla5121311[[#This Row],[Sal. Dev]]-Tabla5121311[[#This Row],[Ausencias]]+Tabla5121311[[#This Row],[pago x vacaciones]]-Tabla5121311[[#This Row],[importe Seg Social]]-Tabla5121311[[#This Row],[Imp. Sobr. Ing. Per 3% (3260.00-9510.00)]]-Tabla5121311[[#This Row],[Imp. Sobr. Ing. Per 5% (9510.00-15000.00)]]</f>
        <v>12155.616</v>
      </c>
      <c r="Q84" s="140"/>
      <c r="R84" s="140"/>
      <c r="S84" s="140"/>
    </row>
    <row r="85" spans="1:19" ht="61.3" customHeight="1">
      <c r="A85" s="211">
        <v>42</v>
      </c>
      <c r="B85" s="205" t="str">
        <f>VLOOKUP(Tabla5121311[[#This Row],[No. Exp]],Tabla6[],2)</f>
        <v>Laura Lobaina Llera</v>
      </c>
      <c r="C85" s="212" t="str">
        <f>VLOOKUP(Tabla5121311[[#This Row],[No. Exp]],Tabla6[],3)</f>
        <v>95092328970</v>
      </c>
      <c r="D85" s="206">
        <v>192</v>
      </c>
      <c r="E85" s="206">
        <f>VLOOKUP(Tabla5121311[[#This Row],[No. Exp]],Tabla6[],5)</f>
        <v>41.665999999999997</v>
      </c>
      <c r="F85" s="207">
        <f>ROUND(Tabla5121311[[#This Row],[Horas Trabajadas]]*Tabla5121311[[#This Row],[Tarifas por horas]],0)</f>
        <v>8000</v>
      </c>
      <c r="G85" s="207"/>
      <c r="H85" s="208">
        <f>Tabla5121311[[#This Row],[Salario Básico]]+Tabla5121311[[#This Row],[Bonif]]</f>
        <v>8000</v>
      </c>
      <c r="I85" s="213"/>
      <c r="J85" s="209"/>
      <c r="K85" s="207" cm="1">
        <f t="array" ref="K85">MMULT(Tabla5121311[[#This Row],[Tarifas por horas]],8)*Tabla5121311[[#This Row],[Vacaciones]]</f>
        <v>0</v>
      </c>
      <c r="L85" s="208">
        <f>Tabla5121311[[#This Row],[Sal. Dev]]-Tabla5121311[[#This Row],[Ausencias]]+Tabla5121311[[#This Row],[pago x vacaciones]]</f>
        <v>8000</v>
      </c>
      <c r="M85" s="207">
        <f>5%*Tabla5121311[[#This Row],[Salario Neto]]</f>
        <v>400</v>
      </c>
      <c r="N85" s="206">
        <f t="shared" si="5"/>
        <v>187.5</v>
      </c>
      <c r="O85" s="206"/>
      <c r="P85" s="210">
        <f>Tabla5121311[[#This Row],[Sal. Dev]]-Tabla5121311[[#This Row],[Ausencias]]+Tabla5121311[[#This Row],[pago x vacaciones]]-Tabla5121311[[#This Row],[importe Seg Social]]-Tabla5121311[[#This Row],[Imp. Sobr. Ing. Per 3% (3260.00-9510.00)]]</f>
        <v>7412.5</v>
      </c>
    </row>
    <row r="86" spans="1:19" ht="61.75" customHeight="1">
      <c r="A86" s="211">
        <v>47</v>
      </c>
      <c r="B86" s="205" t="str">
        <f>VLOOKUP(Tabla5121311[[#This Row],[No. Exp]],Tabla6[],2)</f>
        <v xml:space="preserve">Sheila González Tuero </v>
      </c>
      <c r="C86" s="212">
        <f>VLOOKUP(Tabla5121311[[#This Row],[No. Exp]],Tabla6[],3)</f>
        <v>94111928919</v>
      </c>
      <c r="D86" s="206">
        <v>192</v>
      </c>
      <c r="E86" s="206">
        <f>VLOOKUP(Tabla5121311[[#This Row],[No. Exp]],Tabla6[],5)</f>
        <v>41.665999999999997</v>
      </c>
      <c r="F86" s="207">
        <f>ROUND(Tabla5121311[[#This Row],[Horas Trabajadas]]*Tabla5121311[[#This Row],[Tarifas por horas]],0)</f>
        <v>8000</v>
      </c>
      <c r="G86" s="207"/>
      <c r="H86" s="208">
        <f>Tabla5121311[[#This Row],[Salario Básico]]+Tabla5121311[[#This Row],[Bonif]]</f>
        <v>8000</v>
      </c>
      <c r="I86" s="213"/>
      <c r="J86" s="209"/>
      <c r="K86" s="207" cm="1">
        <f t="array" ref="K86">MMULT(Tabla5121311[[#This Row],[Tarifas por horas]],8)*Tabla5121311[[#This Row],[Vacaciones]]</f>
        <v>0</v>
      </c>
      <c r="L86" s="208">
        <f>Tabla5121311[[#This Row],[Sal. Dev]]-Tabla5121311[[#This Row],[Ausencias]]+Tabla5121311[[#This Row],[pago x vacaciones]]</f>
        <v>8000</v>
      </c>
      <c r="M86" s="207">
        <f>5%*Tabla5121311[[#This Row],[Salario Neto]]</f>
        <v>400</v>
      </c>
      <c r="N86" s="206">
        <f t="shared" si="5"/>
        <v>187.5</v>
      </c>
      <c r="O86" s="206"/>
      <c r="P86" s="210">
        <f>Tabla5121311[[#This Row],[Sal. Dev]]-Tabla5121311[[#This Row],[Ausencias]]+Tabla5121311[[#This Row],[pago x vacaciones]]-Tabla5121311[[#This Row],[importe Seg Social]]-Tabla5121311[[#This Row],[Imp. Sobr. Ing. Per 3% (3260.00-9510.00)]]</f>
        <v>7412.5</v>
      </c>
    </row>
    <row r="87" spans="1:19" ht="61.75" customHeight="1">
      <c r="A87" s="211">
        <v>48</v>
      </c>
      <c r="B87" s="205" t="str">
        <f>VLOOKUP(Tabla5121311[[#This Row],[No. Exp]],Tabla6[],2)</f>
        <v>Onel Angel Martínez López</v>
      </c>
      <c r="C87" s="212" t="str">
        <f>VLOOKUP(Tabla5121311[[#This Row],[No. Exp]],Tabla6[],3)</f>
        <v>99081600501</v>
      </c>
      <c r="D87" s="206">
        <v>192</v>
      </c>
      <c r="E87" s="206">
        <f>VLOOKUP(Tabla5121311[[#This Row],[No. Exp]],Tabla6[],5)</f>
        <v>41.665999999999997</v>
      </c>
      <c r="F87" s="207">
        <f>ROUND(Tabla5121311[[#This Row],[Horas Trabajadas]]*Tabla5121311[[#This Row],[Tarifas por horas]],0)</f>
        <v>8000</v>
      </c>
      <c r="G87" s="207"/>
      <c r="H87" s="208">
        <f>Tabla5121311[[#This Row],[Salario Básico]]+Tabla5121311[[#This Row],[Bonif]]</f>
        <v>8000</v>
      </c>
      <c r="I87" s="213"/>
      <c r="J87" s="209"/>
      <c r="K87" s="207" cm="1">
        <f t="array" ref="K87">MMULT(Tabla5121311[[#This Row],[Tarifas por horas]],8)*Tabla5121311[[#This Row],[Vacaciones]]</f>
        <v>0</v>
      </c>
      <c r="L87" s="208">
        <f>Tabla5121311[[#This Row],[Sal. Dev]]-Tabla5121311[[#This Row],[Ausencias]]+Tabla5121311[[#This Row],[pago x vacaciones]]</f>
        <v>8000</v>
      </c>
      <c r="M87" s="207">
        <f>5%*Tabla5121311[[#This Row],[Salario Neto]]</f>
        <v>400</v>
      </c>
      <c r="N87" s="206">
        <f t="shared" si="5"/>
        <v>187.5</v>
      </c>
      <c r="O87" s="206"/>
      <c r="P87" s="210">
        <f>Tabla5121311[[#This Row],[Sal. Dev]]-Tabla5121311[[#This Row],[Ausencias]]+Tabla5121311[[#This Row],[pago x vacaciones]]-Tabla5121311[[#This Row],[importe Seg Social]]-Tabla5121311[[#This Row],[Imp. Sobr. Ing. Per 3% (3260.00-9510.00)]]</f>
        <v>7412.5</v>
      </c>
    </row>
    <row r="88" spans="1:19" ht="66.900000000000006" customHeight="1">
      <c r="A88" s="211">
        <v>49</v>
      </c>
      <c r="B88" s="205" t="str">
        <f>VLOOKUP(Tabla5121311[[#This Row],[No. Exp]],Tabla6[],2)</f>
        <v>Abraham Rodríguez Colina</v>
      </c>
      <c r="C88" s="212" t="str">
        <f>VLOOKUP(Tabla5121311[[#This Row],[No. Exp]],Tabla6[],3)</f>
        <v>97051407323</v>
      </c>
      <c r="D88" s="206">
        <v>192</v>
      </c>
      <c r="E88" s="206">
        <f>VLOOKUP(Tabla5121311[[#This Row],[No. Exp]],Tabla6[],5)</f>
        <v>41.665999999999997</v>
      </c>
      <c r="F88" s="207">
        <f>ROUND(Tabla5121311[[#This Row],[Horas Trabajadas]]*Tabla5121311[[#This Row],[Tarifas por horas]],0)</f>
        <v>8000</v>
      </c>
      <c r="G88" s="207"/>
      <c r="H88" s="208">
        <f>Tabla5121311[[#This Row],[Salario Básico]]+Tabla5121311[[#This Row],[Bonif]]</f>
        <v>8000</v>
      </c>
      <c r="I88" s="213"/>
      <c r="J88" s="209"/>
      <c r="K88" s="207" cm="1">
        <f t="array" ref="K88">MMULT(Tabla5121311[[#This Row],[Tarifas por horas]],8)*Tabla5121311[[#This Row],[Vacaciones]]</f>
        <v>0</v>
      </c>
      <c r="L88" s="208">
        <f>Tabla5121311[[#This Row],[Sal. Dev]]-Tabla5121311[[#This Row],[Ausencias]]+Tabla5121311[[#This Row],[pago x vacaciones]]</f>
        <v>8000</v>
      </c>
      <c r="M88" s="207">
        <f>5%*Tabla5121311[[#This Row],[Salario Neto]]</f>
        <v>400</v>
      </c>
      <c r="N88" s="206">
        <f t="shared" si="5"/>
        <v>187.5</v>
      </c>
      <c r="O88" s="206"/>
      <c r="P88" s="210">
        <f>Tabla5121311[[#This Row],[Sal. Dev]]-Tabla5121311[[#This Row],[Ausencias]]+Tabla5121311[[#This Row],[pago x vacaciones]]-Tabla5121311[[#This Row],[importe Seg Social]]-Tabla5121311[[#This Row],[Imp. Sobr. Ing. Per 3% (3260.00-9510.00)]]</f>
        <v>7412.5</v>
      </c>
    </row>
    <row r="89" spans="1:19" ht="70.75" customHeight="1">
      <c r="A89" s="204">
        <v>93</v>
      </c>
      <c r="B89" s="205" t="str">
        <f>VLOOKUP(Tabla5121311[[#This Row],[No. Exp]],Tabla6[],2)</f>
        <v>Zaily Cruz Sánchez</v>
      </c>
      <c r="C89" s="212">
        <f>VLOOKUP(Tabla5121311[[#This Row],[No. Exp]],Tabla6[],3)</f>
        <v>97042206435</v>
      </c>
      <c r="D89" s="206">
        <v>192</v>
      </c>
      <c r="E89" s="206">
        <f>VLOOKUP(Tabla5121311[[#This Row],[No. Exp]],Tabla6[],5)</f>
        <v>41.665999999999997</v>
      </c>
      <c r="F89" s="207">
        <f>ROUND(Tabla5121311[[#This Row],[Horas Trabajadas]]*Tabla5121311[[#This Row],[Tarifas por horas]],0)</f>
        <v>8000</v>
      </c>
      <c r="G89" s="207"/>
      <c r="H89" s="208">
        <f>Tabla5121311[[#This Row],[Salario Básico]]+Tabla5121311[[#This Row],[Bonif]]</f>
        <v>8000</v>
      </c>
      <c r="I89" s="213"/>
      <c r="J89" s="209"/>
      <c r="K89" s="207" cm="1">
        <f t="array" ref="K89">MMULT(Tabla5121311[[#This Row],[Tarifas por horas]],8)*Tabla5121311[[#This Row],[Vacaciones]]</f>
        <v>0</v>
      </c>
      <c r="L89" s="208">
        <f>Tabla5121311[[#This Row],[Sal. Dev]]-Tabla5121311[[#This Row],[Ausencias]]+Tabla5121311[[#This Row],[pago x vacaciones]]</f>
        <v>8000</v>
      </c>
      <c r="M89" s="207">
        <f>5%*Tabla5121311[[#This Row],[Salario Neto]]</f>
        <v>400</v>
      </c>
      <c r="N89" s="206">
        <f t="shared" si="5"/>
        <v>187.5</v>
      </c>
      <c r="O89" s="206"/>
      <c r="P89" s="210">
        <f>Tabla5121311[[#This Row],[Sal. Dev]]-Tabla5121311[[#This Row],[Ausencias]]+Tabla5121311[[#This Row],[pago x vacaciones]]-Tabla5121311[[#This Row],[importe Seg Social]]-Tabla5121311[[#This Row],[Imp. Sobr. Ing. Per 3% (3260.00-9510.00)]]</f>
        <v>7412.5</v>
      </c>
    </row>
    <row r="90" spans="1:19" s="154" customFormat="1" ht="59.15" customHeight="1">
      <c r="A90" s="230">
        <v>122</v>
      </c>
      <c r="B90" s="231" t="str">
        <f>VLOOKUP(Tabla5121311[[#This Row],[No. Exp]],Tabla6[],2)</f>
        <v xml:space="preserve">Ivis Arcos Gutiérrez  </v>
      </c>
      <c r="C90" s="232">
        <f>VLOOKUP(Tabla5121311[[#This Row],[No. Exp]],Tabla6[],3)</f>
        <v>98071806091</v>
      </c>
      <c r="D90" s="233">
        <v>240</v>
      </c>
      <c r="E90" s="233">
        <f>VLOOKUP(Tabla5121311[[#This Row],[No. Exp]],Tabla6[],5)</f>
        <v>41.665999999999997</v>
      </c>
      <c r="F90" s="234">
        <f>ROUND(Tabla5121311[[#This Row],[Horas Trabajadas]]*Tabla5121311[[#This Row],[Tarifas por horas]],0)</f>
        <v>10000</v>
      </c>
      <c r="G90" s="234"/>
      <c r="H90" s="235">
        <f>Tabla5121311[[#This Row],[Salario Básico]]+Tabla5121311[[#This Row],[Bonif]]</f>
        <v>10000</v>
      </c>
      <c r="I90" s="236"/>
      <c r="J90" s="237"/>
      <c r="K90" s="234" cm="1">
        <f t="array" ref="K90">MMULT(Tabla5121311[[#This Row],[Tarifas por horas]],8)*Tabla5121311[[#This Row],[Vacaciones]]</f>
        <v>0</v>
      </c>
      <c r="L90" s="238">
        <f>Tabla5121311[[#This Row],[Sal. Dev]]-Tabla5121311[[#This Row],[Ausencias]]+Tabla5121311[[#This Row],[pago x vacaciones]]</f>
        <v>10000</v>
      </c>
      <c r="M90" s="234">
        <f>5%*Tabla5121311[[#This Row],[Salario Neto]]</f>
        <v>500</v>
      </c>
      <c r="N90" s="233">
        <f t="shared" si="5"/>
        <v>187.5</v>
      </c>
      <c r="O90" s="233">
        <f>(Tabla5121311[[#This Row],[Salario Neto]]-9510)*5%</f>
        <v>24.5</v>
      </c>
      <c r="P90" s="239">
        <f>Tabla5121311[[#This Row],[Sal. Dev]]-Tabla5121311[[#This Row],[Ausencias]]+Tabla5121311[[#This Row],[pago x vacaciones]]-Tabla5121311[[#This Row],[importe Seg Social]]-Tabla5121311[[#This Row],[Imp. Sobr. Ing. Per 3% (3260.00-9510.00)]]-Tabla5121311[[#This Row],[Imp. Sobr. Ing. Per 5% (9510.00-15000.00)]]</f>
        <v>9288</v>
      </c>
      <c r="Q90" s="140"/>
      <c r="R90" s="140"/>
      <c r="S90" s="140"/>
    </row>
    <row r="91" spans="1:19" s="154" customFormat="1" ht="64.3" customHeight="1">
      <c r="A91" s="230">
        <v>119</v>
      </c>
      <c r="B91" s="231" t="str">
        <f>VLOOKUP(Tabla5121311[[#This Row],[No. Exp]],Tabla6[],2)</f>
        <v>Laurin Susana Castillo Ramirez</v>
      </c>
      <c r="C91" s="232" t="str">
        <f>VLOOKUP(Tabla5121311[[#This Row],[No. Exp]],Tabla6[],3)</f>
        <v>02100662657</v>
      </c>
      <c r="D91" s="233">
        <v>176</v>
      </c>
      <c r="E91" s="233">
        <f>VLOOKUP(Tabla5121311[[#This Row],[No. Exp]],Tabla6[],5)</f>
        <v>41.665999999999997</v>
      </c>
      <c r="F91" s="234">
        <f>ROUND(Tabla5121311[[#This Row],[Horas Trabajadas]]*Tabla5121311[[#This Row],[Tarifas por horas]],0)</f>
        <v>7333</v>
      </c>
      <c r="G91" s="234"/>
      <c r="H91" s="348">
        <f>Tabla5121311[[#This Row],[Salario Básico]]+Tabla5121311[[#This Row],[Bonif]]</f>
        <v>7333</v>
      </c>
      <c r="I91" s="236"/>
      <c r="J91" s="237"/>
      <c r="K91" s="234" cm="1">
        <f t="array" ref="K91">MMULT(Tabla5121311[[#This Row],[Tarifas por horas]],8)*Tabla5121311[[#This Row],[Vacaciones]]</f>
        <v>0</v>
      </c>
      <c r="L91" s="349">
        <f>Tabla5121311[[#This Row],[Sal. Dev]]-Tabla5121311[[#This Row],[Ausencias]]+Tabla5121311[[#This Row],[pago x vacaciones]]</f>
        <v>7333</v>
      </c>
      <c r="M91" s="234">
        <f>5%*Tabla5121311[[#This Row],[Salario Neto]]</f>
        <v>366.65000000000003</v>
      </c>
      <c r="N91" s="233">
        <f t="shared" si="5"/>
        <v>187.5</v>
      </c>
      <c r="O91" s="233"/>
      <c r="P91" s="239">
        <f>Tabla5121311[[#This Row],[Sal. Dev]]-Tabla5121311[[#This Row],[Ausencias]]+Tabla5121311[[#This Row],[pago x vacaciones]]-Tabla5121311[[#This Row],[importe Seg Social]]-Tabla5121311[[#This Row],[Imp. Sobr. Ing. Per 3% (3260.00-9510.00)]]</f>
        <v>6778.85</v>
      </c>
      <c r="Q91" s="140"/>
      <c r="R91" s="140"/>
      <c r="S91" s="140"/>
    </row>
    <row r="92" spans="1:19" s="154" customFormat="1" ht="66.900000000000006" customHeight="1">
      <c r="A92" s="230">
        <v>112</v>
      </c>
      <c r="B92" s="231" t="str">
        <f>VLOOKUP(Tabla5121311[[#This Row],[No. Exp]],Tabla6[],2)</f>
        <v>Patricia Rodríguez Campa</v>
      </c>
      <c r="C92" s="232">
        <f>VLOOKUP(Tabla5121311[[#This Row],[No. Exp]],Tabla6[],3)</f>
        <v>97122108676</v>
      </c>
      <c r="D92" s="233">
        <v>192</v>
      </c>
      <c r="E92" s="233">
        <f>VLOOKUP(Tabla5121311[[#This Row],[No. Exp]],Tabla6[],5)</f>
        <v>41.665999999999997</v>
      </c>
      <c r="F92" s="234">
        <f>ROUND(Tabla5121311[[#This Row],[Horas Trabajadas]]*Tabla5121311[[#This Row],[Tarifas por horas]],0)</f>
        <v>8000</v>
      </c>
      <c r="G92" s="234"/>
      <c r="H92" s="235">
        <f>Tabla5121311[[#This Row],[Salario Básico]]+Tabla5121311[[#This Row],[Bonif]]</f>
        <v>8000</v>
      </c>
      <c r="I92" s="236"/>
      <c r="J92" s="237"/>
      <c r="K92" s="234" cm="1">
        <f t="array" ref="K92">MMULT(Tabla5121311[[#This Row],[Tarifas por horas]],8)*Tabla5121311[[#This Row],[Vacaciones]]</f>
        <v>0</v>
      </c>
      <c r="L92" s="238">
        <f>Tabla5121311[[#This Row],[Sal. Dev]]-Tabla5121311[[#This Row],[Ausencias]]+Tabla5121311[[#This Row],[pago x vacaciones]]</f>
        <v>8000</v>
      </c>
      <c r="M92" s="234">
        <f>5%*Tabla5121311[[#This Row],[Salario Neto]]</f>
        <v>400</v>
      </c>
      <c r="N92" s="233">
        <f t="shared" si="5"/>
        <v>187.5</v>
      </c>
      <c r="O92" s="233"/>
      <c r="P92" s="239">
        <f>Tabla5121311[[#This Row],[Sal. Dev]]-Tabla5121311[[#This Row],[Ausencias]]+Tabla5121311[[#This Row],[pago x vacaciones]]-Tabla5121311[[#This Row],[importe Seg Social]]-Tabla5121311[[#This Row],[Imp. Sobr. Ing. Per 3% (3260.00-9510.00)]]</f>
        <v>7412.5</v>
      </c>
      <c r="Q92" s="140"/>
      <c r="R92" s="140"/>
      <c r="S92" s="140"/>
    </row>
    <row r="93" spans="1:19">
      <c r="A93" s="197"/>
      <c r="B93" s="188"/>
      <c r="C93" s="181"/>
      <c r="D93" s="191"/>
      <c r="E93" s="191"/>
      <c r="F93" s="188"/>
      <c r="G93" s="188"/>
      <c r="H93" s="192"/>
      <c r="I93" s="174"/>
      <c r="J93" s="180"/>
      <c r="K93" s="188"/>
      <c r="L93" s="192"/>
      <c r="M93" s="188"/>
      <c r="N93" s="191"/>
      <c r="O93" s="196"/>
      <c r="P93" s="174"/>
    </row>
    <row r="94" spans="1:19">
      <c r="A94" s="142"/>
      <c r="B94" s="148"/>
      <c r="C94" s="141"/>
      <c r="D94" s="149"/>
      <c r="E94" s="149"/>
      <c r="F94" s="148"/>
      <c r="G94" s="148"/>
      <c r="H94" s="150"/>
      <c r="J94" s="143"/>
      <c r="K94" s="148"/>
      <c r="L94" s="157"/>
      <c r="M94" s="148"/>
      <c r="N94" s="149"/>
      <c r="O94" s="151"/>
    </row>
    <row r="95" spans="1:19">
      <c r="A95" s="142"/>
      <c r="B95" s="148"/>
      <c r="C95" s="141"/>
      <c r="D95" s="149"/>
      <c r="E95" s="149"/>
      <c r="F95" s="148"/>
      <c r="G95" s="148"/>
      <c r="H95" s="150"/>
      <c r="J95" s="143"/>
      <c r="K95" s="148"/>
      <c r="L95" s="157"/>
      <c r="M95" s="148"/>
      <c r="N95" s="149"/>
      <c r="O95" s="151"/>
    </row>
    <row r="96" spans="1:19" ht="30" customHeight="1">
      <c r="A96" s="142"/>
      <c r="B96" s="466"/>
      <c r="C96" s="466"/>
      <c r="D96" s="149"/>
      <c r="E96" s="149"/>
      <c r="F96" s="148"/>
      <c r="G96" s="148"/>
      <c r="H96" s="150"/>
      <c r="J96" s="143"/>
      <c r="K96" s="148"/>
      <c r="L96" s="157"/>
      <c r="M96" s="148"/>
      <c r="N96" s="149"/>
      <c r="O96" s="151"/>
    </row>
    <row r="97" spans="1:16">
      <c r="A97" s="142"/>
      <c r="D97" s="149"/>
      <c r="E97" s="149"/>
      <c r="F97" s="148"/>
      <c r="G97" s="148"/>
      <c r="H97" s="150"/>
      <c r="J97" s="143"/>
      <c r="K97" s="148"/>
      <c r="L97" s="157"/>
      <c r="M97" s="148"/>
      <c r="N97" s="149"/>
      <c r="O97" s="151"/>
    </row>
    <row r="98" spans="1:16" ht="33.450000000000003">
      <c r="A98" s="142"/>
      <c r="B98" s="168"/>
      <c r="C98" s="169"/>
      <c r="D98" s="149"/>
      <c r="E98" s="149"/>
      <c r="F98" s="148"/>
      <c r="G98" s="148"/>
      <c r="H98" s="150"/>
      <c r="J98" s="143"/>
      <c r="K98" s="148"/>
      <c r="L98" s="157"/>
      <c r="M98" s="148"/>
      <c r="N98" s="149"/>
      <c r="O98" s="151"/>
    </row>
    <row r="99" spans="1:16" ht="33.450000000000003">
      <c r="A99" s="142"/>
      <c r="B99" s="168"/>
      <c r="C99" s="169"/>
      <c r="D99" s="149"/>
      <c r="E99" s="149"/>
      <c r="F99" s="148"/>
      <c r="G99" s="148"/>
      <c r="H99" s="150"/>
      <c r="J99" s="143"/>
      <c r="K99" s="148"/>
      <c r="L99" s="157"/>
      <c r="M99" s="148"/>
      <c r="N99" s="149"/>
      <c r="O99" s="151"/>
    </row>
    <row r="100" spans="1:16" ht="33.450000000000003">
      <c r="A100" s="142"/>
      <c r="B100" s="467" t="s">
        <v>204</v>
      </c>
      <c r="C100" s="468"/>
      <c r="D100" s="149"/>
      <c r="E100" s="149"/>
      <c r="F100" s="148"/>
      <c r="G100" s="148"/>
      <c r="H100" s="150"/>
      <c r="J100" s="143"/>
      <c r="K100" s="148"/>
      <c r="L100" s="157"/>
      <c r="M100" s="148"/>
      <c r="N100" s="149"/>
      <c r="O100" s="151"/>
    </row>
    <row r="101" spans="1:16" ht="33.450000000000003">
      <c r="A101" s="142"/>
      <c r="B101" s="168"/>
      <c r="C101" s="169"/>
      <c r="D101" s="149"/>
      <c r="E101" s="149"/>
      <c r="F101" s="148"/>
      <c r="G101" s="148"/>
      <c r="H101" s="150"/>
      <c r="J101" s="143"/>
      <c r="K101" s="148"/>
      <c r="L101" s="157"/>
      <c r="M101" s="148"/>
      <c r="N101" s="149"/>
      <c r="O101" s="151"/>
    </row>
    <row r="102" spans="1:16">
      <c r="A102" s="142"/>
      <c r="B102" s="148"/>
      <c r="C102" s="141"/>
      <c r="D102" s="149"/>
      <c r="E102" s="149"/>
      <c r="F102" s="148"/>
      <c r="G102" s="148"/>
      <c r="H102" s="150"/>
      <c r="J102" s="143"/>
      <c r="K102" s="148"/>
      <c r="L102" s="157"/>
      <c r="M102" s="148"/>
      <c r="N102" s="149"/>
      <c r="O102" s="151"/>
    </row>
    <row r="103" spans="1:16">
      <c r="A103" s="148"/>
      <c r="B103" s="148"/>
      <c r="C103" s="148"/>
      <c r="D103" s="141"/>
      <c r="E103" s="149"/>
      <c r="F103" s="149"/>
      <c r="G103" s="148"/>
      <c r="H103" s="148"/>
      <c r="I103" s="150"/>
      <c r="L103" s="141"/>
      <c r="M103" s="141"/>
      <c r="N103" s="141"/>
    </row>
    <row r="104" spans="1:16" ht="45.45">
      <c r="A104" s="459" t="s">
        <v>0</v>
      </c>
      <c r="B104" s="459"/>
      <c r="C104" s="180"/>
      <c r="D104" s="180"/>
      <c r="E104" s="174"/>
      <c r="F104" s="174"/>
      <c r="G104" s="174"/>
      <c r="H104" s="174"/>
      <c r="I104" s="189" t="s">
        <v>1</v>
      </c>
      <c r="J104" s="189" t="s">
        <v>2</v>
      </c>
      <c r="K104" s="269">
        <f>K70</f>
        <v>45901</v>
      </c>
      <c r="L104" s="270" t="s">
        <v>3</v>
      </c>
      <c r="M104" s="269">
        <f>M70</f>
        <v>45930</v>
      </c>
      <c r="N104" s="181"/>
      <c r="O104" s="174"/>
      <c r="P104" s="174"/>
    </row>
    <row r="105" spans="1:16" ht="27.9">
      <c r="A105" s="469" t="s">
        <v>4</v>
      </c>
      <c r="B105" s="469"/>
      <c r="C105" s="267" t="str">
        <f>C6</f>
        <v>Amanda Marcano Bahler</v>
      </c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74"/>
      <c r="P105" s="174"/>
    </row>
    <row r="106" spans="1:16" ht="27.9">
      <c r="A106" s="469" t="s">
        <v>5</v>
      </c>
      <c r="B106" s="469"/>
      <c r="C106" s="268"/>
      <c r="D106" s="190"/>
      <c r="E106" s="190"/>
      <c r="F106" s="190"/>
      <c r="G106" s="190"/>
      <c r="H106" s="190"/>
      <c r="I106" s="190"/>
      <c r="J106" s="190"/>
      <c r="K106" s="190"/>
      <c r="L106" s="190" t="str">
        <f>L7</f>
        <v>Horas:</v>
      </c>
      <c r="M106" s="267">
        <f>M7</f>
        <v>192</v>
      </c>
      <c r="N106" s="190"/>
      <c r="O106" s="174"/>
      <c r="P106" s="174"/>
    </row>
    <row r="107" spans="1:16" ht="27.9">
      <c r="A107" s="190"/>
      <c r="B107" s="190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  <c r="M107" s="190"/>
      <c r="N107" s="190"/>
      <c r="O107" s="174"/>
      <c r="P107" s="174"/>
    </row>
    <row r="108" spans="1:16" ht="32.6">
      <c r="A108" s="464" t="s">
        <v>7</v>
      </c>
      <c r="B108" s="464"/>
      <c r="C108" s="264" t="s">
        <v>20</v>
      </c>
      <c r="D108" s="174"/>
      <c r="E108" s="174"/>
      <c r="F108" s="174"/>
      <c r="G108" s="174"/>
      <c r="H108" s="174"/>
      <c r="I108" s="174"/>
      <c r="J108" s="174"/>
      <c r="K108" s="174"/>
      <c r="L108" s="460" t="s">
        <v>9</v>
      </c>
      <c r="M108" s="460"/>
      <c r="N108" s="174"/>
      <c r="O108" s="174"/>
      <c r="P108" s="174"/>
    </row>
    <row r="109" spans="1:16" s="152" customFormat="1" ht="62.6" customHeight="1">
      <c r="A109" s="198" t="s">
        <v>10</v>
      </c>
      <c r="B109" s="198" t="s">
        <v>11</v>
      </c>
      <c r="C109" s="198" t="s">
        <v>12</v>
      </c>
      <c r="D109" s="198" t="s">
        <v>198</v>
      </c>
      <c r="E109" s="198" t="s">
        <v>199</v>
      </c>
      <c r="F109" s="198" t="s">
        <v>13</v>
      </c>
      <c r="G109" s="198" t="s">
        <v>14</v>
      </c>
      <c r="H109" s="199" t="s">
        <v>15</v>
      </c>
      <c r="I109" s="198" t="s">
        <v>197</v>
      </c>
      <c r="J109" s="199" t="s">
        <v>9</v>
      </c>
      <c r="K109" s="199" t="s">
        <v>16</v>
      </c>
      <c r="L109" s="198" t="s">
        <v>196</v>
      </c>
      <c r="M109" s="198" t="s">
        <v>194</v>
      </c>
      <c r="N109" s="198" t="s">
        <v>240</v>
      </c>
      <c r="O109" s="198" t="s">
        <v>241</v>
      </c>
      <c r="P109" s="199" t="s">
        <v>191</v>
      </c>
    </row>
    <row r="110" spans="1:16" ht="77.150000000000006" customHeight="1">
      <c r="A110" s="204">
        <v>51</v>
      </c>
      <c r="B110" s="205" t="str">
        <f>VLOOKUP(Tabla512131415[[#This Row],[No. Exp]],Tabla6[],2)</f>
        <v xml:space="preserve">Ana Gloria Delgado Rodriguez </v>
      </c>
      <c r="C110" s="204" t="str">
        <f>VLOOKUP(Tabla512131415[[#This Row],[No. Exp]],Tabla6[],3)</f>
        <v>99082510652</v>
      </c>
      <c r="D110" s="206">
        <v>192</v>
      </c>
      <c r="E110" s="206">
        <f>VLOOKUP(Tabla512131415[[#This Row],[No. Exp]],Tabla6[],5)</f>
        <v>41.665999999999997</v>
      </c>
      <c r="F110" s="207">
        <f>ROUND(Tabla512131415[[#This Row],[Horas Trabajadas]]*Tabla512131415[[#This Row],[Tarifas x horas]],0)</f>
        <v>8000</v>
      </c>
      <c r="G110" s="207"/>
      <c r="H110" s="207">
        <f>Tabla512131415[[#This Row],[A Cobrar]]+Tabla512131415[[#This Row],[Bonif]]</f>
        <v>8000</v>
      </c>
      <c r="I110" s="207"/>
      <c r="J110" s="271"/>
      <c r="K110" s="213" cm="1">
        <f t="array" ref="K110">MMULT(Tabla512131415[[#This Row],[Tarifas x horas]],8)*Tabla512131415[[#This Row],[Vacaciones]]</f>
        <v>0</v>
      </c>
      <c r="L110" s="208">
        <f>Tabla512131415[[#This Row],[Sal. Dev]]-Tabla512131415[[#This Row],[Ausencias]]+Tabla512131415[[#This Row],[pago x vacaciones]]</f>
        <v>8000</v>
      </c>
      <c r="M110" s="207">
        <f>5%*Tabla512131415[[#This Row],[Salario Neto]]</f>
        <v>400</v>
      </c>
      <c r="N110" s="206">
        <f>(9510-3260)*3%</f>
        <v>187.5</v>
      </c>
      <c r="O110" s="206"/>
      <c r="P110" s="210">
        <f>Tabla512131415[[#This Row],[Sal. Dev]]-Tabla512131415[[#This Row],[Ausencias]]+Tabla512131415[[#This Row],[pago x vacaciones]]-Tabla512131415[[#This Row],[importe Seg Social]]-Tabla512131415[[#This Row],[Imp. Sobr. Ing. Per 3% (3260.00-9510.00)]]</f>
        <v>7412.5</v>
      </c>
    </row>
    <row r="111" spans="1:16" ht="78.45" customHeight="1">
      <c r="A111" s="211">
        <v>53</v>
      </c>
      <c r="B111" s="205" t="str">
        <f>VLOOKUP(Tabla512131415[[#This Row],[No. Exp]],Tabla6[],2)</f>
        <v>Rowder Fernández Matos</v>
      </c>
      <c r="C111" s="212">
        <f>VLOOKUP(Tabla512131415[[#This Row],[No. Exp]],Tabla6[],3)</f>
        <v>92102527724</v>
      </c>
      <c r="D111" s="206">
        <v>192</v>
      </c>
      <c r="E111" s="206">
        <f>VLOOKUP(Tabla512131415[[#This Row],[No. Exp]],Tabla6[],5)</f>
        <v>41.665999999999997</v>
      </c>
      <c r="F111" s="207">
        <f>ROUND(Tabla512131415[[#This Row],[Horas Trabajadas]]*Tabla512131415[[#This Row],[Tarifas x horas]],0)</f>
        <v>8000</v>
      </c>
      <c r="G111" s="207"/>
      <c r="H111" s="207">
        <f>Tabla512131415[[#This Row],[A Cobrar]]+Tabla512131415[[#This Row],[Bonif]]</f>
        <v>8000</v>
      </c>
      <c r="I111" s="208"/>
      <c r="J111" s="209"/>
      <c r="K111" s="213" cm="1">
        <f t="array" ref="K111">MMULT(Tabla512131415[[#This Row],[Tarifas x horas]],8)*Tabla512131415[[#This Row],[Vacaciones]]</f>
        <v>0</v>
      </c>
      <c r="L111" s="208">
        <f>Tabla512131415[[#This Row],[Sal. Dev]]-Tabla512131415[[#This Row],[Ausencias]]+Tabla512131415[[#This Row],[pago x vacaciones]]</f>
        <v>8000</v>
      </c>
      <c r="M111" s="207">
        <f>5%*Tabla512131415[[#This Row],[Salario Neto]]</f>
        <v>400</v>
      </c>
      <c r="N111" s="206">
        <f t="shared" ref="N111:N114" si="7">(9510-3260)*3%</f>
        <v>187.5</v>
      </c>
      <c r="O111" s="206"/>
      <c r="P111" s="210">
        <f>Tabla512131415[[#This Row],[Sal. Dev]]-Tabla512131415[[#This Row],[Ausencias]]+Tabla512131415[[#This Row],[pago x vacaciones]]-Tabla512131415[[#This Row],[importe Seg Social]]-Tabla512131415[[#This Row],[Imp. Sobr. Ing. Per 3% (3260.00-9510.00)]]</f>
        <v>7412.5</v>
      </c>
    </row>
    <row r="112" spans="1:16" ht="69" customHeight="1">
      <c r="A112" s="211">
        <v>54</v>
      </c>
      <c r="B112" s="205" t="str">
        <f>VLOOKUP(Tabla512131415[[#This Row],[No. Exp]],Tabla6[],2)</f>
        <v>Dael David Rodríguez Noa</v>
      </c>
      <c r="C112" s="212" t="str">
        <f>VLOOKUP(Tabla512131415[[#This Row],[No. Exp]],Tabla6[],3)</f>
        <v>98022106389</v>
      </c>
      <c r="D112" s="206">
        <v>192</v>
      </c>
      <c r="E112" s="206">
        <f>VLOOKUP(Tabla512131415[[#This Row],[No. Exp]],Tabla6[],5)</f>
        <v>41.665999999999997</v>
      </c>
      <c r="F112" s="207">
        <f>ROUND(Tabla512131415[[#This Row],[Horas Trabajadas]]*Tabla512131415[[#This Row],[Tarifas x horas]],0)</f>
        <v>8000</v>
      </c>
      <c r="G112" s="207"/>
      <c r="H112" s="207">
        <f>Tabla512131415[[#This Row],[A Cobrar]]+Tabla512131415[[#This Row],[Bonif]]</f>
        <v>8000</v>
      </c>
      <c r="I112" s="213"/>
      <c r="J112" s="209"/>
      <c r="K112" s="213" cm="1">
        <f t="array" ref="K112">MMULT(Tabla512131415[[#This Row],[Tarifas x horas]],8)*Tabla512131415[[#This Row],[Vacaciones]]</f>
        <v>0</v>
      </c>
      <c r="L112" s="208">
        <f>Tabla512131415[[#This Row],[Sal. Dev]]-Tabla512131415[[#This Row],[Ausencias]]+Tabla512131415[[#This Row],[pago x vacaciones]]</f>
        <v>8000</v>
      </c>
      <c r="M112" s="207">
        <f>5%*Tabla512131415[[#This Row],[Salario Neto]]</f>
        <v>400</v>
      </c>
      <c r="N112" s="206">
        <f t="shared" si="7"/>
        <v>187.5</v>
      </c>
      <c r="O112" s="206"/>
      <c r="P112" s="210">
        <f>Tabla512131415[[#This Row],[Sal. Dev]]-Tabla512131415[[#This Row],[Ausencias]]+Tabla512131415[[#This Row],[pago x vacaciones]]-Tabla512131415[[#This Row],[importe Seg Social]]-Tabla512131415[[#This Row],[Imp. Sobr. Ing. Per 3% (3260.00-9510.00)]]</f>
        <v>7412.5</v>
      </c>
    </row>
    <row r="113" spans="1:19" ht="87.45" customHeight="1">
      <c r="A113" s="211">
        <v>55</v>
      </c>
      <c r="B113" s="205" t="str">
        <f>VLOOKUP(Tabla512131415[[#This Row],[No. Exp]],Tabla6[],2)</f>
        <v>Michel Abreu Pardo</v>
      </c>
      <c r="C113" s="212" t="str">
        <f>VLOOKUP(Tabla512131415[[#This Row],[No. Exp]],Tabla6[],3)</f>
        <v>87051210029</v>
      </c>
      <c r="D113" s="206">
        <v>192</v>
      </c>
      <c r="E113" s="206">
        <f>VLOOKUP(Tabla512131415[[#This Row],[No. Exp]],Tabla6[],5)</f>
        <v>41.665999999999997</v>
      </c>
      <c r="F113" s="207">
        <f>ROUND(Tabla512131415[[#This Row],[Horas Trabajadas]]*Tabla512131415[[#This Row],[Tarifas x horas]],0)</f>
        <v>8000</v>
      </c>
      <c r="G113" s="207"/>
      <c r="H113" s="207">
        <f>Tabla512131415[[#This Row],[A Cobrar]]+Tabla512131415[[#This Row],[Bonif]]</f>
        <v>8000</v>
      </c>
      <c r="I113" s="213"/>
      <c r="J113" s="209"/>
      <c r="K113" s="213" cm="1">
        <f t="array" ref="K113">MMULT(Tabla512131415[[#This Row],[Tarifas x horas]],8)*Tabla512131415[[#This Row],[Vacaciones]]</f>
        <v>0</v>
      </c>
      <c r="L113" s="208">
        <f>Tabla512131415[[#This Row],[Sal. Dev]]-Tabla512131415[[#This Row],[Ausencias]]+Tabla512131415[[#This Row],[pago x vacaciones]]</f>
        <v>8000</v>
      </c>
      <c r="M113" s="207">
        <f>5%*Tabla512131415[[#This Row],[Salario Neto]]</f>
        <v>400</v>
      </c>
      <c r="N113" s="206">
        <f t="shared" si="7"/>
        <v>187.5</v>
      </c>
      <c r="O113" s="206"/>
      <c r="P113" s="210">
        <f>Tabla512131415[[#This Row],[Sal. Dev]]-Tabla512131415[[#This Row],[Ausencias]]+Tabla512131415[[#This Row],[pago x vacaciones]]-Tabla512131415[[#This Row],[importe Seg Social]]-Tabla512131415[[#This Row],[Imp. Sobr. Ing. Per 3% (3260.00-9510.00)]]</f>
        <v>7412.5</v>
      </c>
    </row>
    <row r="114" spans="1:19" s="158" customFormat="1" ht="55.75" customHeight="1">
      <c r="A114" s="272">
        <v>92</v>
      </c>
      <c r="B114" s="214" t="str">
        <f>VLOOKUP(Tabla512131415[[#This Row],[No. Exp]],Tabla6[],2)</f>
        <v>Iván Llanes Oliveros</v>
      </c>
      <c r="C114" s="215">
        <f>VLOOKUP(Tabla512131415[[#This Row],[No. Exp]],Tabla6[],3)</f>
        <v>90013026740</v>
      </c>
      <c r="D114" s="216">
        <v>192</v>
      </c>
      <c r="E114" s="216">
        <f>VLOOKUP(Tabla512131415[[#This Row],[No. Exp]],Tabla6[],5)</f>
        <v>41.665999999999997</v>
      </c>
      <c r="F114" s="217">
        <f>ROUND(Tabla512131415[[#This Row],[Horas Trabajadas]]*Tabla512131415[[#This Row],[Tarifas x horas]],0)</f>
        <v>8000</v>
      </c>
      <c r="G114" s="217"/>
      <c r="H114" s="217">
        <f>Tabla512131415[[#This Row],[A Cobrar]]+Tabla512131415[[#This Row],[Bonif]]</f>
        <v>8000</v>
      </c>
      <c r="I114" s="218"/>
      <c r="J114" s="219">
        <v>4.3600000000000003</v>
      </c>
      <c r="K114" s="273">
        <v>1990.71</v>
      </c>
      <c r="L114" s="220">
        <f>Tabla512131415[[#This Row],[Sal. Dev]]-Tabla512131415[[#This Row],[Ausencias]]+Tabla512131415[[#This Row],[pago x vacaciones]]</f>
        <v>9990.7099999999991</v>
      </c>
      <c r="M114" s="216">
        <f>5%*Tabla512131415[[#This Row],[Salario Neto]]</f>
        <v>499.53549999999996</v>
      </c>
      <c r="N114" s="216">
        <f t="shared" si="7"/>
        <v>187.5</v>
      </c>
      <c r="O114" s="216">
        <f>(Tabla512131415[[#This Row],[Salario Neto]]-9510)*5%</f>
        <v>24.035499999999956</v>
      </c>
      <c r="P114" s="220">
        <f>Tabla512131415[[#This Row],[Sal. Dev]]-Tabla512131415[[#This Row],[Ausencias]]+Tabla512131415[[#This Row],[pago x vacaciones]]-Tabla512131415[[#This Row],[importe Seg Social]]-Tabla512131415[[#This Row],[Imp. Sobr. Ing. Per 3% (3260.00-9510.00)]]-Tabla512131415[[#This Row],[Imp. Sobr. Ing. Per 5% (9510.00-15000.00)]]</f>
        <v>9279.6389999999992</v>
      </c>
      <c r="Q114" s="140"/>
      <c r="R114" s="140"/>
      <c r="S114" s="140"/>
    </row>
    <row r="115" spans="1:19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93"/>
      <c r="O115" s="193"/>
      <c r="P115" s="174"/>
    </row>
    <row r="116" spans="1:19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93"/>
      <c r="O116" s="193"/>
      <c r="P116" s="174"/>
    </row>
    <row r="117" spans="1:19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93"/>
      <c r="O117" s="193"/>
      <c r="P117" s="174"/>
    </row>
    <row r="118" spans="1:19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93"/>
      <c r="O118" s="193"/>
      <c r="P118" s="174"/>
    </row>
    <row r="119" spans="1:19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93"/>
      <c r="O119" s="193"/>
      <c r="P119" s="174"/>
    </row>
    <row r="120" spans="1:19">
      <c r="A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93"/>
      <c r="O120" s="193"/>
      <c r="P120" s="174"/>
    </row>
    <row r="121" spans="1:19">
      <c r="A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93"/>
      <c r="O121" s="193"/>
      <c r="P121" s="174"/>
    </row>
    <row r="122" spans="1:19">
      <c r="A122" s="174"/>
      <c r="B122" s="266"/>
      <c r="C122" s="266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93"/>
      <c r="O122" s="193"/>
      <c r="P122" s="174"/>
    </row>
    <row r="123" spans="1:19">
      <c r="A123" s="174"/>
      <c r="B123" s="470" t="s">
        <v>208</v>
      </c>
      <c r="C123" s="470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93"/>
      <c r="O123" s="193"/>
      <c r="P123" s="174"/>
    </row>
    <row r="124" spans="1:19">
      <c r="A124" s="174"/>
      <c r="B124" s="266"/>
      <c r="C124" s="266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93"/>
      <c r="O124" s="193"/>
      <c r="P124" s="174"/>
    </row>
    <row r="125" spans="1:19">
      <c r="A125" s="174"/>
      <c r="B125" s="266"/>
      <c r="C125" s="266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93"/>
      <c r="O125" s="193"/>
      <c r="P125" s="174"/>
    </row>
    <row r="126" spans="1:19">
      <c r="N126" s="155"/>
      <c r="O126" s="155"/>
    </row>
    <row r="127" spans="1:19">
      <c r="N127" s="155"/>
      <c r="O127" s="155"/>
    </row>
    <row r="128" spans="1:19">
      <c r="N128" s="155"/>
      <c r="O128" s="155"/>
    </row>
    <row r="129" spans="1:34" ht="46.3">
      <c r="A129" s="461" t="s">
        <v>0</v>
      </c>
      <c r="B129" s="461"/>
      <c r="C129" s="143"/>
      <c r="D129" s="143"/>
      <c r="I129" s="166" t="s">
        <v>1</v>
      </c>
      <c r="J129" s="166" t="s">
        <v>2</v>
      </c>
      <c r="K129" s="177">
        <f>K104</f>
        <v>45901</v>
      </c>
      <c r="L129" s="178" t="s">
        <v>3</v>
      </c>
      <c r="M129" s="177">
        <f>M104</f>
        <v>45930</v>
      </c>
      <c r="N129" s="155"/>
      <c r="O129" s="155"/>
    </row>
    <row r="130" spans="1:34" ht="28.3">
      <c r="A130" s="462" t="s">
        <v>4</v>
      </c>
      <c r="B130" s="462"/>
      <c r="C130" s="175" t="s">
        <v>223</v>
      </c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274"/>
      <c r="O130" s="274"/>
      <c r="P130" s="163"/>
    </row>
    <row r="131" spans="1:34" ht="28.3">
      <c r="A131" s="163"/>
      <c r="B131" s="163" t="s">
        <v>205</v>
      </c>
      <c r="C131" s="275" t="s">
        <v>206</v>
      </c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274"/>
      <c r="O131" s="274"/>
      <c r="P131" s="163"/>
    </row>
    <row r="132" spans="1:34" ht="35.6">
      <c r="A132" s="471" t="s">
        <v>7</v>
      </c>
      <c r="B132" s="471"/>
      <c r="C132" s="276" t="s">
        <v>21</v>
      </c>
      <c r="D132" s="163"/>
      <c r="E132" s="163"/>
      <c r="F132" s="163"/>
      <c r="G132" s="163"/>
      <c r="H132" s="163"/>
      <c r="I132" s="163"/>
      <c r="J132" s="163"/>
      <c r="K132" s="163"/>
      <c r="L132" s="462" t="s">
        <v>9</v>
      </c>
      <c r="M132" s="462"/>
      <c r="N132" s="163"/>
      <c r="O132" s="163"/>
      <c r="P132" s="163"/>
    </row>
    <row r="133" spans="1:34" s="152" customFormat="1" ht="81.45" customHeight="1">
      <c r="A133" s="221" t="s">
        <v>10</v>
      </c>
      <c r="B133" s="222" t="s">
        <v>11</v>
      </c>
      <c r="C133" s="222" t="s">
        <v>12</v>
      </c>
      <c r="D133" s="222" t="s">
        <v>201</v>
      </c>
      <c r="E133" s="222" t="s">
        <v>199</v>
      </c>
      <c r="F133" s="222" t="s">
        <v>13</v>
      </c>
      <c r="G133" s="222" t="s">
        <v>14</v>
      </c>
      <c r="H133" s="223" t="s">
        <v>15</v>
      </c>
      <c r="I133" s="222" t="s">
        <v>197</v>
      </c>
      <c r="J133" s="222" t="s">
        <v>9</v>
      </c>
      <c r="K133" s="222" t="s">
        <v>16</v>
      </c>
      <c r="L133" s="222" t="s">
        <v>196</v>
      </c>
      <c r="M133" s="222" t="s">
        <v>194</v>
      </c>
      <c r="N133" s="222" t="s">
        <v>240</v>
      </c>
      <c r="O133" s="286" t="s">
        <v>241</v>
      </c>
      <c r="P133" s="224" t="s">
        <v>191</v>
      </c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  <c r="AA133" s="140"/>
      <c r="AB133" s="140"/>
      <c r="AC133" s="140"/>
      <c r="AD133" s="140"/>
      <c r="AE133" s="140"/>
      <c r="AF133" s="140"/>
      <c r="AG133" s="140"/>
      <c r="AH133" s="140"/>
    </row>
    <row r="134" spans="1:34" ht="92.6" customHeight="1">
      <c r="A134" s="207">
        <v>56</v>
      </c>
      <c r="B134" s="205" t="str">
        <f>VLOOKUP(Tabla5121314_316[[#This Row],[No. Exp]],Tabla6[],2)</f>
        <v>María Ofelia Morgado Rodríguez</v>
      </c>
      <c r="C134" s="204">
        <f>VLOOKUP(Tabla5121314_316[[#This Row],[No. Exp]],Tabla6[],3)</f>
        <v>85090214737</v>
      </c>
      <c r="D134" s="206">
        <v>192</v>
      </c>
      <c r="E134" s="206">
        <f>VLOOKUP(Tabla5121314_316[[#This Row],[No. Exp]],Tabla6[],5)</f>
        <v>44.27</v>
      </c>
      <c r="F134" s="207">
        <f>ROUND(Tabla5121314_316[[#This Row],[Horas trabajadas]]*Tabla5121314_316[[#This Row],[Tarifas x horas]],0)</f>
        <v>8500</v>
      </c>
      <c r="G134" s="207"/>
      <c r="H134" s="207">
        <f>Tabla5121314_316[[#This Row],[A Cobrar]]+Tabla5121314_316[[#This Row],[Bonif]]</f>
        <v>8500</v>
      </c>
      <c r="I134" s="207"/>
      <c r="J134" s="209"/>
      <c r="K134" s="207" cm="1">
        <f t="array" ref="K134">MMULT(Tabla5121314_316[[#This Row],[Tarifas x horas]],8)*Tabla5121314_316[[#This Row],[Vacaciones]]</f>
        <v>0</v>
      </c>
      <c r="L134" s="207">
        <f>Tabla5121314_316[[#This Row],[Sal. Dev]]-Tabla5121314_316[[#This Row],[Ausencias]]+Tabla5121314_316[[#This Row],[pago x vacaciones]]</f>
        <v>8500</v>
      </c>
      <c r="M134" s="207">
        <f>5%*Tabla5121314_316[[#This Row],[Salario Neto]]</f>
        <v>425</v>
      </c>
      <c r="N134" s="206">
        <f>(9510-3260)*3%</f>
        <v>187.5</v>
      </c>
      <c r="O134" s="206"/>
      <c r="P134" s="210">
        <f>Tabla5121314_316[[#This Row],[Sal. Dev]]-Tabla5121314_316[[#This Row],[Ausencias]]+Tabla5121314_316[[#This Row],[pago x vacaciones]]-Tabla5121314_316[[#This Row],[importe Seg Social]]-Tabla5121314_316[[#This Row],[Imp. Sobr. Ing. Per 3% (3260.00-9510.00)]]</f>
        <v>7887.5</v>
      </c>
    </row>
    <row r="135" spans="1:34" ht="63.9" customHeight="1">
      <c r="A135" s="207">
        <v>57</v>
      </c>
      <c r="B135" s="205" t="str">
        <f>VLOOKUP(Tabla5121314_316[[#This Row],[No. Exp]],Tabla6[],2)</f>
        <v>Pedro Luis Cruz Luna</v>
      </c>
      <c r="C135" s="204">
        <f>VLOOKUP(Tabla5121314_316[[#This Row],[No. Exp]],Tabla6[],3)</f>
        <v>67032021083</v>
      </c>
      <c r="D135" s="206">
        <v>192</v>
      </c>
      <c r="E135" s="206">
        <f>VLOOKUP(Tabla5121314_316[[#This Row],[No. Exp]],Tabla6[],5)</f>
        <v>41.665999999999997</v>
      </c>
      <c r="F135" s="207">
        <f>ROUND(Tabla5121314_316[[#This Row],[Horas trabajadas]]*Tabla5121314_316[[#This Row],[Tarifas x horas]],0)</f>
        <v>8000</v>
      </c>
      <c r="G135" s="207"/>
      <c r="H135" s="207">
        <f>Tabla5121314_316[[#This Row],[A Cobrar]]+Tabla5121314_316[[#This Row],[Bonif]]</f>
        <v>8000</v>
      </c>
      <c r="I135" s="207"/>
      <c r="J135" s="209"/>
      <c r="K135" s="207" cm="1">
        <f t="array" ref="K135">MMULT(Tabla5121314_316[[#This Row],[Tarifas x horas]],8)*Tabla5121314_316[[#This Row],[Vacaciones]]</f>
        <v>0</v>
      </c>
      <c r="L135" s="207">
        <f>Tabla5121314_316[[#This Row],[Sal. Dev]]-Tabla5121314_316[[#This Row],[Ausencias]]+Tabla5121314_316[[#This Row],[pago x vacaciones]]</f>
        <v>8000</v>
      </c>
      <c r="M135" s="207">
        <f>5%*Tabla5121314_316[[#This Row],[Salario Neto]]</f>
        <v>400</v>
      </c>
      <c r="N135" s="206">
        <f t="shared" ref="N135:N149" si="8">(9510-3260)*3%</f>
        <v>187.5</v>
      </c>
      <c r="O135" s="206"/>
      <c r="P135" s="210">
        <f>Tabla5121314_316[[#This Row],[Sal. Dev]]-Tabla5121314_316[[#This Row],[Ausencias]]+Tabla5121314_316[[#This Row],[pago x vacaciones]]-Tabla5121314_316[[#This Row],[importe Seg Social]]-Tabla5121314_316[[#This Row],[Imp. Sobr. Ing. Per 3% (3260.00-9510.00)]]</f>
        <v>7412.5</v>
      </c>
    </row>
    <row r="136" spans="1:34" ht="63.9" customHeight="1">
      <c r="A136" s="278">
        <v>58</v>
      </c>
      <c r="B136" s="225" t="str">
        <f>VLOOKUP(Tabla5121314_316[[#This Row],[No. Exp]],Tabla6[],2)</f>
        <v>Amanda Valdés Cabrera</v>
      </c>
      <c r="C136" s="212" t="str">
        <f>VLOOKUP(Tabla5121314_316[[#This Row],[No. Exp]],Tabla6[],3)</f>
        <v>04121272936</v>
      </c>
      <c r="D136" s="206">
        <v>192</v>
      </c>
      <c r="E136" s="226">
        <f>VLOOKUP(Tabla5121314_316[[#This Row],[No. Exp]],Tabla6[],5)</f>
        <v>41.665999999999997</v>
      </c>
      <c r="F136" s="207">
        <f>ROUND(Tabla5121314_316[[#This Row],[Horas trabajadas]]*Tabla5121314_316[[#This Row],[Tarifas x horas]],0)</f>
        <v>8000</v>
      </c>
      <c r="G136" s="207"/>
      <c r="H136" s="207">
        <f>Tabla5121314_316[[#This Row],[A Cobrar]]+Tabla5121314_316[[#This Row],[Bonif]]</f>
        <v>8000</v>
      </c>
      <c r="I136" s="208"/>
      <c r="J136" s="209"/>
      <c r="K136" s="207" cm="1">
        <f t="array" ref="K136">MMULT(Tabla5121314_316[[#This Row],[Tarifas x horas]],8)*Tabla5121314_316[[#This Row],[Vacaciones]]</f>
        <v>0</v>
      </c>
      <c r="L136" s="207">
        <f>Tabla5121314_316[[#This Row],[Sal. Dev]]-Tabla5121314_316[[#This Row],[Ausencias]]+Tabla5121314_316[[#This Row],[pago x vacaciones]]</f>
        <v>8000</v>
      </c>
      <c r="M136" s="207">
        <f>5%*Tabla5121314_316[[#This Row],[Salario Neto]]</f>
        <v>400</v>
      </c>
      <c r="N136" s="206">
        <f t="shared" si="8"/>
        <v>187.5</v>
      </c>
      <c r="O136" s="206"/>
      <c r="P136" s="210">
        <f>Tabla5121314_316[[#This Row],[Sal. Dev]]-Tabla5121314_316[[#This Row],[Ausencias]]+Tabla5121314_316[[#This Row],[pago x vacaciones]]-Tabla5121314_316[[#This Row],[importe Seg Social]]-Tabla5121314_316[[#This Row],[Imp. Sobr. Ing. Per 3% (3260.00-9510.00)]]</f>
        <v>7412.5</v>
      </c>
    </row>
    <row r="137" spans="1:34" ht="74.150000000000006" customHeight="1">
      <c r="A137" s="278">
        <v>59</v>
      </c>
      <c r="B137" s="205" t="str">
        <f>VLOOKUP(Tabla5121314_316[[#This Row],[No. Exp]],Tabla6[],2)</f>
        <v>Beatriz González Santana</v>
      </c>
      <c r="C137" s="212" t="str">
        <f>VLOOKUP(Tabla5121314_316[[#This Row],[No. Exp]],Tabla6[],3)</f>
        <v>96022414792</v>
      </c>
      <c r="D137" s="206">
        <v>192</v>
      </c>
      <c r="E137" s="206">
        <f>VLOOKUP(Tabla5121314_316[[#This Row],[No. Exp]],Tabla6[],5)</f>
        <v>41.665999999999997</v>
      </c>
      <c r="F137" s="207">
        <f>ROUND(Tabla5121314_316[[#This Row],[Horas trabajadas]]*Tabla5121314_316[[#This Row],[Tarifas x horas]],0)</f>
        <v>8000</v>
      </c>
      <c r="G137" s="207"/>
      <c r="H137" s="207">
        <f>Tabla5121314_316[[#This Row],[A Cobrar]]+Tabla5121314_316[[#This Row],[Bonif]]</f>
        <v>8000</v>
      </c>
      <c r="I137" s="208"/>
      <c r="J137" s="209">
        <v>5</v>
      </c>
      <c r="K137" s="207" cm="1">
        <f t="array" ref="K137">MMULT(Tabla5121314_316[[#This Row],[Tarifas x horas]],8)*Tabla5121314_316[[#This Row],[Vacaciones]]</f>
        <v>1666.6399999999999</v>
      </c>
      <c r="L137" s="207">
        <f>Tabla5121314_316[[#This Row],[Sal. Dev]]-Tabla5121314_316[[#This Row],[Ausencias]]+Tabla5121314_316[[#This Row],[pago x vacaciones]]</f>
        <v>9666.64</v>
      </c>
      <c r="M137" s="207">
        <f>5%*Tabla5121314_316[[#This Row],[Salario Neto]]</f>
        <v>483.33199999999999</v>
      </c>
      <c r="N137" s="206">
        <f t="shared" si="8"/>
        <v>187.5</v>
      </c>
      <c r="O137" s="206">
        <f>(Tabla5121314_316[[#This Row],[Salario Neto]]-9510)*5%</f>
        <v>7.8319999999999714</v>
      </c>
      <c r="P137" s="210">
        <f>Tabla5121314_316[[#This Row],[Sal. Dev]]-Tabla5121314_316[[#This Row],[Ausencias]]+Tabla5121314_316[[#This Row],[pago x vacaciones]]-Tabla5121314_316[[#This Row],[importe Seg Social]]-Tabla5121314_316[[#This Row],[Imp. Sobr. Ing. Per 3% (3260.00-9510.00)]]</f>
        <v>8995.8079999999991</v>
      </c>
    </row>
    <row r="138" spans="1:34" ht="55.85" customHeight="1">
      <c r="A138" s="278">
        <v>61</v>
      </c>
      <c r="B138" s="205" t="str">
        <f>VLOOKUP(Tabla5121314_316[[#This Row],[No. Exp]],Tabla6[],2)</f>
        <v>Lisbet Pina Crespo</v>
      </c>
      <c r="C138" s="212" t="str">
        <f>VLOOKUP(Tabla5121314_316[[#This Row],[No. Exp]],Tabla6[],3)</f>
        <v>00091472957</v>
      </c>
      <c r="D138" s="206">
        <v>192</v>
      </c>
      <c r="E138" s="206">
        <f>VLOOKUP(Tabla5121314_316[[#This Row],[No. Exp]],Tabla6[],5)</f>
        <v>41.665999999999997</v>
      </c>
      <c r="F138" s="207">
        <f>ROUND(Tabla5121314_316[[#This Row],[Horas trabajadas]]*Tabla5121314_316[[#This Row],[Tarifas x horas]],0)</f>
        <v>8000</v>
      </c>
      <c r="G138" s="207"/>
      <c r="H138" s="207">
        <f>Tabla5121314_316[[#This Row],[A Cobrar]]+Tabla5121314_316[[#This Row],[Bonif]]</f>
        <v>8000</v>
      </c>
      <c r="I138" s="213"/>
      <c r="J138" s="209"/>
      <c r="K138" s="207" cm="1">
        <f t="array" ref="K138">MMULT(Tabla5121314_316[[#This Row],[Tarifas x horas]],8)*Tabla5121314_316[[#This Row],[Vacaciones]]</f>
        <v>0</v>
      </c>
      <c r="L138" s="207">
        <f>Tabla5121314_316[[#This Row],[Sal. Dev]]-Tabla5121314_316[[#This Row],[Ausencias]]+Tabla5121314_316[[#This Row],[pago x vacaciones]]</f>
        <v>8000</v>
      </c>
      <c r="M138" s="207">
        <f>5%*Tabla5121314_316[[#This Row],[Salario Neto]]</f>
        <v>400</v>
      </c>
      <c r="N138" s="206">
        <f t="shared" si="8"/>
        <v>187.5</v>
      </c>
      <c r="O138" s="206"/>
      <c r="P138" s="210">
        <f>Tabla5121314_316[[#This Row],[Sal. Dev]]-Tabla5121314_316[[#This Row],[Ausencias]]+Tabla5121314_316[[#This Row],[pago x vacaciones]]-Tabla5121314_316[[#This Row],[importe Seg Social]]-Tabla5121314_316[[#This Row],[Imp. Sobr. Ing. Per 3% (3260.00-9510.00)]]</f>
        <v>7412.5</v>
      </c>
    </row>
    <row r="139" spans="1:34" ht="72" customHeight="1">
      <c r="A139" s="278">
        <v>62</v>
      </c>
      <c r="B139" s="279" t="str">
        <f>VLOOKUP(Tabla5121314_316[[#This Row],[No. Exp]],Tabla6[],2)</f>
        <v>Marlys de la Caridad Rodriguez Santana</v>
      </c>
      <c r="C139" s="212" t="str">
        <f>VLOOKUP(Tabla5121314_316[[#This Row],[No. Exp]],Tabla6[],3)</f>
        <v>00062372918</v>
      </c>
      <c r="D139" s="206">
        <v>192</v>
      </c>
      <c r="E139" s="206">
        <f>VLOOKUP(Tabla5121314_316[[#This Row],[No. Exp]],Tabla6[],5)</f>
        <v>41.665999999999997</v>
      </c>
      <c r="F139" s="207">
        <f>ROUND(Tabla5121314_316[[#This Row],[Horas trabajadas]]*Tabla5121314_316[[#This Row],[Tarifas x horas]],0)</f>
        <v>8000</v>
      </c>
      <c r="G139" s="207"/>
      <c r="H139" s="207">
        <f>Tabla5121314_316[[#This Row],[A Cobrar]]+Tabla5121314_316[[#This Row],[Bonif]]</f>
        <v>8000</v>
      </c>
      <c r="I139" s="213"/>
      <c r="J139" s="209"/>
      <c r="K139" s="207" cm="1">
        <f t="array" ref="K139">MMULT(Tabla5121314_316[[#This Row],[Tarifas x horas]],8)*Tabla5121314_316[[#This Row],[Vacaciones]]</f>
        <v>0</v>
      </c>
      <c r="L139" s="207">
        <f>Tabla5121314_316[[#This Row],[Sal. Dev]]-Tabla5121314_316[[#This Row],[Ausencias]]+Tabla5121314_316[[#This Row],[pago x vacaciones]]</f>
        <v>8000</v>
      </c>
      <c r="M139" s="207">
        <f>5%*Tabla5121314_316[[#This Row],[Salario Neto]]</f>
        <v>400</v>
      </c>
      <c r="N139" s="206">
        <f t="shared" si="8"/>
        <v>187.5</v>
      </c>
      <c r="O139" s="206"/>
      <c r="P139" s="210">
        <f>Tabla5121314_316[[#This Row],[Sal. Dev]]-Tabla5121314_316[[#This Row],[Ausencias]]+Tabla5121314_316[[#This Row],[pago x vacaciones]]-Tabla5121314_316[[#This Row],[importe Seg Social]]-Tabla5121314_316[[#This Row],[Imp. Sobr. Ing. Per 3% (3260.00-9510.00)]]</f>
        <v>7412.5</v>
      </c>
    </row>
    <row r="140" spans="1:34" ht="50.15" customHeight="1">
      <c r="A140" s="278">
        <v>63</v>
      </c>
      <c r="B140" s="280" t="str">
        <f>VLOOKUP(Tabla5121314_316[[#This Row],[No. Exp]],Tabla6[],2)</f>
        <v>Dariel Alberto Pérez Cancio</v>
      </c>
      <c r="C140" s="211">
        <f>VLOOKUP(Tabla5121314_316[[#This Row],[No. Exp]],Tabla6[],3)</f>
        <v>95061537180</v>
      </c>
      <c r="D140" s="206">
        <v>192</v>
      </c>
      <c r="E140" s="281">
        <f>VLOOKUP(Tabla5121314_316[[#This Row],[No. Exp]],Tabla6[],5)</f>
        <v>40.625</v>
      </c>
      <c r="F140" s="213">
        <f>ROUND(Tabla5121314_316[[#This Row],[Horas trabajadas]]*Tabla5121314_316[[#This Row],[Tarifas x horas]],0)</f>
        <v>7800</v>
      </c>
      <c r="G140" s="213"/>
      <c r="H140" s="213">
        <f>Tabla5121314_316[[#This Row],[A Cobrar]]+Tabla5121314_316[[#This Row],[Bonif]]</f>
        <v>7800</v>
      </c>
      <c r="I140" s="213"/>
      <c r="J140" s="209"/>
      <c r="K140" s="207" cm="1">
        <f t="array" ref="K140">MMULT(Tabla5121314_316[[#This Row],[Tarifas x horas]],8)*Tabla5121314_316[[#This Row],[Vacaciones]]</f>
        <v>0</v>
      </c>
      <c r="L140" s="207">
        <f>Tabla5121314_316[[#This Row],[Sal. Dev]]-Tabla5121314_316[[#This Row],[Ausencias]]+Tabla5121314_316[[#This Row],[pago x vacaciones]]</f>
        <v>7800</v>
      </c>
      <c r="M140" s="207">
        <f>5%*Tabla5121314_316[[#This Row],[Salario Neto]]</f>
        <v>390</v>
      </c>
      <c r="N140" s="206">
        <f t="shared" si="8"/>
        <v>187.5</v>
      </c>
      <c r="O140" s="206"/>
      <c r="P140" s="210">
        <f>Tabla5121314_316[[#This Row],[Sal. Dev]]-Tabla5121314_316[[#This Row],[Ausencias]]+Tabla5121314_316[[#This Row],[pago x vacaciones]]-Tabla5121314_316[[#This Row],[importe Seg Social]]-Tabla5121314_316[[#This Row],[Imp. Sobr. Ing. Per 3% (3260.00-9510.00)]]</f>
        <v>7222.5</v>
      </c>
    </row>
    <row r="141" spans="1:34" ht="59.6" customHeight="1">
      <c r="A141" s="278">
        <v>65</v>
      </c>
      <c r="B141" s="280" t="str">
        <f>VLOOKUP(Tabla5121314_316[[#This Row],[No. Exp]],Tabla6[],2)</f>
        <v>Dasiel Hernández García</v>
      </c>
      <c r="C141" s="211">
        <f>VLOOKUP(Tabla5121314_316[[#This Row],[No. Exp]],Tabla6[],3)</f>
        <v>90083036529</v>
      </c>
      <c r="D141" s="206">
        <v>192</v>
      </c>
      <c r="E141" s="281">
        <f>VLOOKUP(Tabla5121314_316[[#This Row],[No. Exp]],Tabla6[],5)</f>
        <v>40.625</v>
      </c>
      <c r="F141" s="213">
        <f>ROUND(Tabla5121314_316[[#This Row],[Horas trabajadas]]*Tabla5121314_316[[#This Row],[Tarifas x horas]],0)</f>
        <v>7800</v>
      </c>
      <c r="G141" s="213"/>
      <c r="H141" s="213">
        <f>Tabla5121314_316[[#This Row],[A Cobrar]]+Tabla5121314_316[[#This Row],[Bonif]]</f>
        <v>7800</v>
      </c>
      <c r="I141" s="213"/>
      <c r="J141" s="209"/>
      <c r="K141" s="207" cm="1">
        <f t="array" ref="K141">MMULT(Tabla5121314_316[[#This Row],[Tarifas x horas]],8)*Tabla5121314_316[[#This Row],[Vacaciones]]</f>
        <v>0</v>
      </c>
      <c r="L141" s="207">
        <f>Tabla5121314_316[[#This Row],[Sal. Dev]]-Tabla5121314_316[[#This Row],[Ausencias]]+Tabla5121314_316[[#This Row],[pago x vacaciones]]</f>
        <v>7800</v>
      </c>
      <c r="M141" s="207">
        <f>5%*Tabla5121314_316[[#This Row],[Salario Neto]]</f>
        <v>390</v>
      </c>
      <c r="N141" s="206">
        <f t="shared" si="8"/>
        <v>187.5</v>
      </c>
      <c r="O141" s="206"/>
      <c r="P141" s="210">
        <f>Tabla5121314_316[[#This Row],[Sal. Dev]]-Tabla5121314_316[[#This Row],[Ausencias]]+Tabla5121314_316[[#This Row],[pago x vacaciones]]-Tabla5121314_316[[#This Row],[importe Seg Social]]-Tabla5121314_316[[#This Row],[Imp. Sobr. Ing. Per 3% (3260.00-9510.00)]]</f>
        <v>7222.5</v>
      </c>
    </row>
    <row r="142" spans="1:34" ht="58.3" customHeight="1">
      <c r="A142" s="278">
        <v>66</v>
      </c>
      <c r="B142" s="280" t="str">
        <f>VLOOKUP(Tabla5121314_316[[#This Row],[No. Exp]],Tabla6[],2)</f>
        <v>Oscar Reyes García</v>
      </c>
      <c r="C142" s="211">
        <f>VLOOKUP(Tabla5121314_316[[#This Row],[No. Exp]],Tabla6[],3)</f>
        <v>96070314742</v>
      </c>
      <c r="D142" s="206">
        <v>192</v>
      </c>
      <c r="E142" s="281">
        <f>VLOOKUP(Tabla5121314_316[[#This Row],[No. Exp]],Tabla6[],5)</f>
        <v>40.625</v>
      </c>
      <c r="F142" s="213">
        <f>ROUND(Tabla5121314_316[[#This Row],[Horas trabajadas]]*Tabla5121314_316[[#This Row],[Tarifas x horas]],0)</f>
        <v>7800</v>
      </c>
      <c r="G142" s="213"/>
      <c r="H142" s="213">
        <f>Tabla5121314_316[[#This Row],[A Cobrar]]+Tabla5121314_316[[#This Row],[Bonif]]</f>
        <v>7800</v>
      </c>
      <c r="I142" s="213"/>
      <c r="J142" s="209"/>
      <c r="K142" s="207" cm="1">
        <f t="array" ref="K142">MMULT(Tabla5121314_316[[#This Row],[Tarifas x horas]],8)*Tabla5121314_316[[#This Row],[Vacaciones]]</f>
        <v>0</v>
      </c>
      <c r="L142" s="207">
        <f>Tabla5121314_316[[#This Row],[Sal. Dev]]-Tabla5121314_316[[#This Row],[Ausencias]]+Tabla5121314_316[[#This Row],[pago x vacaciones]]</f>
        <v>7800</v>
      </c>
      <c r="M142" s="207">
        <f>5%*Tabla5121314_316[[#This Row],[Salario Neto]]</f>
        <v>390</v>
      </c>
      <c r="N142" s="206">
        <f t="shared" si="8"/>
        <v>187.5</v>
      </c>
      <c r="O142" s="206"/>
      <c r="P142" s="210">
        <f>Tabla5121314_316[[#This Row],[Sal. Dev]]-Tabla5121314_316[[#This Row],[Ausencias]]+Tabla5121314_316[[#This Row],[pago x vacaciones]]-Tabla5121314_316[[#This Row],[importe Seg Social]]-Tabla5121314_316[[#This Row],[Imp. Sobr. Ing. Per 3% (3260.00-9510.00)]]</f>
        <v>7222.5</v>
      </c>
    </row>
    <row r="143" spans="1:34" ht="58.3" customHeight="1">
      <c r="A143" s="278">
        <v>67</v>
      </c>
      <c r="B143" s="280" t="str">
        <f>VLOOKUP(Tabla5121314_316[[#This Row],[No. Exp]],Tabla6[],2)</f>
        <v>Junior Pérez Ramos</v>
      </c>
      <c r="C143" s="211">
        <f>VLOOKUP(Tabla5121314_316[[#This Row],[No. Exp]],Tabla6[],3)</f>
        <v>84021714745</v>
      </c>
      <c r="D143" s="206">
        <v>192</v>
      </c>
      <c r="E143" s="281">
        <f>VLOOKUP(Tabla5121314_316[[#This Row],[No. Exp]],Tabla6[],5)</f>
        <v>40.625</v>
      </c>
      <c r="F143" s="213">
        <f>ROUND(Tabla5121314_316[[#This Row],[Horas trabajadas]]*Tabla5121314_316[[#This Row],[Tarifas x horas]],0)</f>
        <v>7800</v>
      </c>
      <c r="G143" s="213"/>
      <c r="H143" s="213">
        <f>Tabla5121314_316[[#This Row],[A Cobrar]]+Tabla5121314_316[[#This Row],[Bonif]]</f>
        <v>7800</v>
      </c>
      <c r="I143" s="213"/>
      <c r="J143" s="209">
        <v>5</v>
      </c>
      <c r="K143" s="207" cm="1">
        <f t="array" ref="K143">MMULT(Tabla5121314_316[[#This Row],[Tarifas x horas]],8)*Tabla5121314_316[[#This Row],[Vacaciones]]</f>
        <v>1625</v>
      </c>
      <c r="L143" s="207">
        <f>Tabla5121314_316[[#This Row],[Sal. Dev]]-Tabla5121314_316[[#This Row],[Ausencias]]+Tabla5121314_316[[#This Row],[pago x vacaciones]]</f>
        <v>9425</v>
      </c>
      <c r="M143" s="207">
        <f>5%*Tabla5121314_316[[#This Row],[Salario Neto]]</f>
        <v>471.25</v>
      </c>
      <c r="N143" s="206">
        <f t="shared" si="8"/>
        <v>187.5</v>
      </c>
      <c r="O143" s="206"/>
      <c r="P143" s="210">
        <f>Tabla5121314_316[[#This Row],[Sal. Dev]]-Tabla5121314_316[[#This Row],[Ausencias]]+Tabla5121314_316[[#This Row],[pago x vacaciones]]-Tabla5121314_316[[#This Row],[importe Seg Social]]-Tabla5121314_316[[#This Row],[Imp. Sobr. Ing. Per 3% (3260.00-9510.00)]]</f>
        <v>8766.25</v>
      </c>
    </row>
    <row r="144" spans="1:34" ht="63.45" customHeight="1">
      <c r="A144" s="278">
        <v>68</v>
      </c>
      <c r="B144" s="280" t="str">
        <f>VLOOKUP(Tabla5121314_316[[#This Row],[No. Exp]],Tabla6[],2)</f>
        <v>Dayron Angel Pérez Chirino</v>
      </c>
      <c r="C144" s="211" t="str">
        <f>VLOOKUP(Tabla5121314_316[[#This Row],[No. Exp]],Tabla6[],3)</f>
        <v>03113073183</v>
      </c>
      <c r="D144" s="206">
        <v>192</v>
      </c>
      <c r="E144" s="281">
        <f>VLOOKUP(Tabla5121314_316[[#This Row],[No. Exp]],Tabla6[],5)</f>
        <v>40.625</v>
      </c>
      <c r="F144" s="213">
        <f>ROUND(Tabla5121314_316[[#This Row],[Horas trabajadas]]*Tabla5121314_316[[#This Row],[Tarifas x horas]],0)</f>
        <v>7800</v>
      </c>
      <c r="G144" s="213"/>
      <c r="H144" s="213">
        <f>Tabla5121314_316[[#This Row],[A Cobrar]]+Tabla5121314_316[[#This Row],[Bonif]]</f>
        <v>7800</v>
      </c>
      <c r="I144" s="213"/>
      <c r="J144" s="209"/>
      <c r="K144" s="207" cm="1">
        <f t="array" ref="K144">MMULT(Tabla5121314_316[[#This Row],[Tarifas x horas]],8)*Tabla5121314_316[[#This Row],[Vacaciones]]</f>
        <v>0</v>
      </c>
      <c r="L144" s="207">
        <f>Tabla5121314_316[[#This Row],[Sal. Dev]]-Tabla5121314_316[[#This Row],[Ausencias]]+Tabla5121314_316[[#This Row],[pago x vacaciones]]</f>
        <v>7800</v>
      </c>
      <c r="M144" s="207">
        <f>5%*Tabla5121314_316[[#This Row],[Salario Neto]]</f>
        <v>390</v>
      </c>
      <c r="N144" s="206">
        <f t="shared" si="8"/>
        <v>187.5</v>
      </c>
      <c r="O144" s="206"/>
      <c r="P144" s="210">
        <f>Tabla5121314_316[[#This Row],[Sal. Dev]]-Tabla5121314_316[[#This Row],[Ausencias]]+Tabla5121314_316[[#This Row],[pago x vacaciones]]-Tabla5121314_316[[#This Row],[importe Seg Social]]-Tabla5121314_316[[#This Row],[Imp. Sobr. Ing. Per 3% (3260.00-9510.00)]]</f>
        <v>7222.5</v>
      </c>
    </row>
    <row r="145" spans="1:17" ht="57" customHeight="1">
      <c r="A145" s="278">
        <v>70</v>
      </c>
      <c r="B145" s="280" t="str">
        <f>VLOOKUP(Tabla5121314_316[[#This Row],[No. Exp]],Tabla6[],2)</f>
        <v>Juan Carlos Pérez Morales</v>
      </c>
      <c r="C145" s="211" t="str">
        <f>VLOOKUP(Tabla5121314_316[[#This Row],[No. Exp]],Tabla6[],3)</f>
        <v>97101013044</v>
      </c>
      <c r="D145" s="206">
        <v>192</v>
      </c>
      <c r="E145" s="281">
        <f>VLOOKUP(Tabla5121314_316[[#This Row],[No. Exp]],Tabla6[],5)</f>
        <v>40.625</v>
      </c>
      <c r="F145" s="213">
        <f>ROUND(Tabla5121314_316[[#This Row],[Horas trabajadas]]*Tabla5121314_316[[#This Row],[Tarifas x horas]],0)</f>
        <v>7800</v>
      </c>
      <c r="G145" s="213"/>
      <c r="H145" s="213">
        <f>Tabla5121314_316[[#This Row],[A Cobrar]]+Tabla5121314_316[[#This Row],[Bonif]]</f>
        <v>7800</v>
      </c>
      <c r="I145" s="213"/>
      <c r="J145" s="209"/>
      <c r="K145" s="207" cm="1">
        <f t="array" ref="K145">MMULT(Tabla5121314_316[[#This Row],[Tarifas x horas]],8)*Tabla5121314_316[[#This Row],[Vacaciones]]</f>
        <v>0</v>
      </c>
      <c r="L145" s="207">
        <f>Tabla5121314_316[[#This Row],[Sal. Dev]]-Tabla5121314_316[[#This Row],[Ausencias]]+Tabla5121314_316[[#This Row],[pago x vacaciones]]</f>
        <v>7800</v>
      </c>
      <c r="M145" s="207">
        <f>5%*Tabla5121314_316[[#This Row],[Salario Neto]]</f>
        <v>390</v>
      </c>
      <c r="N145" s="206">
        <f t="shared" si="8"/>
        <v>187.5</v>
      </c>
      <c r="O145" s="206"/>
      <c r="P145" s="210">
        <f>Tabla5121314_316[[#This Row],[Sal. Dev]]-Tabla5121314_316[[#This Row],[Ausencias]]+Tabla5121314_316[[#This Row],[pago x vacaciones]]-Tabla5121314_316[[#This Row],[importe Seg Social]]-Tabla5121314_316[[#This Row],[Imp. Sobr. Ing. Per 3% (3260.00-9510.00)]]</f>
        <v>7222.5</v>
      </c>
    </row>
    <row r="146" spans="1:17" ht="58.3" customHeight="1">
      <c r="A146" s="278">
        <v>71</v>
      </c>
      <c r="B146" s="280" t="str">
        <f>VLOOKUP(Tabla5121314_316[[#This Row],[No. Exp]],Tabla6[],2)</f>
        <v>Andrea Otero Díaz</v>
      </c>
      <c r="C146" s="211" t="str">
        <f>VLOOKUP(Tabla5121314_316[[#This Row],[No. Exp]],Tabla6[],3)</f>
        <v>70021324130</v>
      </c>
      <c r="D146" s="206">
        <v>192</v>
      </c>
      <c r="E146" s="281">
        <f>VLOOKUP(Tabla5121314_316[[#This Row],[No. Exp]],Tabla6[],5)</f>
        <v>39.06</v>
      </c>
      <c r="F146" s="282">
        <f>ROUND(Tabla5121314_316[[#This Row],[Horas trabajadas]]*Tabla5121314_316[[#This Row],[Tarifas x horas]],0)</f>
        <v>7500</v>
      </c>
      <c r="G146" s="213"/>
      <c r="H146" s="213">
        <f>Tabla5121314_316[[#This Row],[A Cobrar]]+Tabla5121314_316[[#This Row],[Bonif]]</f>
        <v>7500</v>
      </c>
      <c r="I146" s="213"/>
      <c r="J146" s="209"/>
      <c r="K146" s="207" cm="1">
        <f t="array" ref="K146">MMULT(Tabla5121314_316[[#This Row],[Tarifas x horas]],8)*Tabla5121314_316[[#This Row],[Vacaciones]]</f>
        <v>0</v>
      </c>
      <c r="L146" s="207">
        <f>Tabla5121314_316[[#This Row],[Sal. Dev]]-Tabla5121314_316[[#This Row],[Ausencias]]+Tabla5121314_316[[#This Row],[pago x vacaciones]]</f>
        <v>7500</v>
      </c>
      <c r="M146" s="207">
        <f>5%*Tabla5121314_316[[#This Row],[Salario Neto]]</f>
        <v>375</v>
      </c>
      <c r="N146" s="206">
        <f t="shared" si="8"/>
        <v>187.5</v>
      </c>
      <c r="O146" s="206"/>
      <c r="P146" s="210">
        <f>Tabla5121314_316[[#This Row],[Sal. Dev]]-Tabla5121314_316[[#This Row],[Ausencias]]+Tabla5121314_316[[#This Row],[pago x vacaciones]]-Tabla5121314_316[[#This Row],[importe Seg Social]]-Tabla5121314_316[[#This Row],[Imp. Sobr. Ing. Per 3% (3260.00-9510.00)]]</f>
        <v>6937.5</v>
      </c>
    </row>
    <row r="147" spans="1:17" ht="59.6" customHeight="1">
      <c r="A147" s="211">
        <v>97</v>
      </c>
      <c r="B147" s="280" t="str">
        <f>VLOOKUP(Tabla5121314_316[[#This Row],[No. Exp]],Tabla6[],2)</f>
        <v xml:space="preserve">Linier Lazo Camero </v>
      </c>
      <c r="C147" s="211">
        <f>VLOOKUP(Tabla5121314_316[[#This Row],[No. Exp]],Tabla6[],3)</f>
        <v>92032937021</v>
      </c>
      <c r="D147" s="206">
        <v>192</v>
      </c>
      <c r="E147" s="281">
        <f>VLOOKUP(Tabla5121314_316[[#This Row],[No. Exp]],Tabla6[],5)</f>
        <v>40.625</v>
      </c>
      <c r="F147" s="213">
        <f>ROUND(Tabla5121314_316[[#This Row],[Horas trabajadas]]*Tabla5121314_316[[#This Row],[Tarifas x horas]],0)</f>
        <v>7800</v>
      </c>
      <c r="G147" s="213"/>
      <c r="H147" s="213">
        <f>Tabla5121314_316[[#This Row],[A Cobrar]]+Tabla5121314_316[[#This Row],[Bonif]]</f>
        <v>7800</v>
      </c>
      <c r="I147" s="213"/>
      <c r="J147" s="209"/>
      <c r="K147" s="207" cm="1">
        <f t="array" ref="K147">MMULT(Tabla5121314_316[[#This Row],[Tarifas x horas]],8)*Tabla5121314_316[[#This Row],[Vacaciones]]</f>
        <v>0</v>
      </c>
      <c r="L147" s="207">
        <f>Tabla5121314_316[[#This Row],[Sal. Dev]]-Tabla5121314_316[[#This Row],[Ausencias]]+Tabla5121314_316[[#This Row],[pago x vacaciones]]</f>
        <v>7800</v>
      </c>
      <c r="M147" s="207">
        <f>5%*Tabla5121314_316[[#This Row],[Salario Neto]]</f>
        <v>390</v>
      </c>
      <c r="N147" s="206">
        <f t="shared" si="8"/>
        <v>187.5</v>
      </c>
      <c r="O147" s="206"/>
      <c r="P147" s="210">
        <f>Tabla5121314_316[[#This Row],[Sal. Dev]]-Tabla5121314_316[[#This Row],[Ausencias]]+Tabla5121314_316[[#This Row],[pago x vacaciones]]-Tabla5121314_316[[#This Row],[importe Seg Social]]-Tabla5121314_316[[#This Row],[Imp. Sobr. Ing. Per 3% (3260.00-9510.00)]]</f>
        <v>7222.5</v>
      </c>
    </row>
    <row r="148" spans="1:17" ht="66.45" customHeight="1">
      <c r="A148" s="211">
        <v>99</v>
      </c>
      <c r="B148" s="280" t="str">
        <f>VLOOKUP(Tabla5121314_316[[#This Row],[No. Exp]],Tabla6[],2)</f>
        <v>Rachel Martell Salabarria</v>
      </c>
      <c r="C148" s="211">
        <f>VLOOKUP(Tabla5121314_316[[#This Row],[No. Exp]],Tabla6[],3)</f>
        <v>97091913233</v>
      </c>
      <c r="D148" s="206">
        <v>192</v>
      </c>
      <c r="E148" s="281">
        <f>VLOOKUP(Tabla5121314_316[[#This Row],[No. Exp]],Tabla6[],5)</f>
        <v>41.665999999999997</v>
      </c>
      <c r="F148" s="213">
        <f>ROUND(Tabla5121314_316[[#This Row],[Horas trabajadas]]*Tabla5121314_316[[#This Row],[Tarifas x horas]],0)</f>
        <v>8000</v>
      </c>
      <c r="G148" s="213"/>
      <c r="H148" s="213">
        <f>Tabla5121314_316[[#This Row],[A Cobrar]]+Tabla5121314_316[[#This Row],[Bonif]]</f>
        <v>8000</v>
      </c>
      <c r="I148" s="213"/>
      <c r="J148" s="209"/>
      <c r="K148" s="207" cm="1">
        <f t="array" ref="K148">MMULT(Tabla5121314_316[[#This Row],[Tarifas x horas]],8)*Tabla5121314_316[[#This Row],[Vacaciones]]</f>
        <v>0</v>
      </c>
      <c r="L148" s="207">
        <f>Tabla5121314_316[[#This Row],[Sal. Dev]]-Tabla5121314_316[[#This Row],[Ausencias]]+Tabla5121314_316[[#This Row],[pago x vacaciones]]</f>
        <v>8000</v>
      </c>
      <c r="M148" s="207">
        <f>5%*Tabla5121314_316[[#This Row],[Salario Neto]]</f>
        <v>400</v>
      </c>
      <c r="N148" s="206">
        <f t="shared" si="8"/>
        <v>187.5</v>
      </c>
      <c r="O148" s="206"/>
      <c r="P148" s="210">
        <f>Tabla5121314_316[[#This Row],[Sal. Dev]]-Tabla5121314_316[[#This Row],[Ausencias]]+Tabla5121314_316[[#This Row],[pago x vacaciones]]-Tabla5121314_316[[#This Row],[importe Seg Social]]-Tabla5121314_316[[#This Row],[Imp. Sobr. Ing. Per 3% (3260.00-9510.00)]]</f>
        <v>7412.5</v>
      </c>
    </row>
    <row r="149" spans="1:17" s="154" customFormat="1" ht="58.3" customHeight="1">
      <c r="A149" s="283">
        <v>125</v>
      </c>
      <c r="B149" s="284" t="str">
        <f>VLOOKUP(Tabla5121314_316[[#This Row],[No. Exp]],Tabla6[],2)</f>
        <v xml:space="preserve">Juan Ramón Alonso Benítez </v>
      </c>
      <c r="C149" s="283">
        <f>VLOOKUP(Tabla5121314_316[[#This Row],[No. Exp]],Tabla6[],3)</f>
        <v>61102003523</v>
      </c>
      <c r="D149" s="233">
        <v>192</v>
      </c>
      <c r="E149" s="285">
        <f>VLOOKUP(Tabla5121314_316[[#This Row],[No. Exp]],Tabla6[],5)</f>
        <v>40.103999999999999</v>
      </c>
      <c r="F149" s="236">
        <f>ROUND(Tabla5121314_316[[#This Row],[Horas trabajadas]]*Tabla5121314_316[[#This Row],[Tarifas x horas]],0)</f>
        <v>7700</v>
      </c>
      <c r="G149" s="236"/>
      <c r="H149" s="236">
        <f>Tabla5121314_316[[#This Row],[A Cobrar]]+Tabla5121314_316[[#This Row],[Bonif]]</f>
        <v>7700</v>
      </c>
      <c r="I149" s="236"/>
      <c r="J149" s="237"/>
      <c r="K149" s="234" cm="1">
        <f t="array" ref="K149">MMULT(Tabla5121314_316[[#This Row],[Tarifas x horas]],8)*Tabla5121314_316[[#This Row],[Vacaciones]]</f>
        <v>0</v>
      </c>
      <c r="L149" s="234">
        <f>Tabla5121314_316[[#This Row],[Sal. Dev]]-Tabla5121314_316[[#This Row],[Ausencias]]+Tabla5121314_316[[#This Row],[pago x vacaciones]]</f>
        <v>7700</v>
      </c>
      <c r="M149" s="234">
        <f>5%*Tabla5121314_316[[#This Row],[Salario Neto]]</f>
        <v>385</v>
      </c>
      <c r="N149" s="233">
        <f t="shared" si="8"/>
        <v>187.5</v>
      </c>
      <c r="O149" s="233"/>
      <c r="P149" s="239">
        <f>Tabla5121314_316[[#This Row],[Sal. Dev]]-Tabla5121314_316[[#This Row],[Ausencias]]+Tabla5121314_316[[#This Row],[pago x vacaciones]]-Tabla5121314_316[[#This Row],[importe Seg Social]]-Tabla5121314_316[[#This Row],[Imp. Sobr. Ing. Per 3% (3260.00-9510.00)]]</f>
        <v>7127.5</v>
      </c>
      <c r="Q149" s="140"/>
    </row>
    <row r="150" spans="1:17">
      <c r="D150" s="149"/>
      <c r="E150" s="156"/>
      <c r="J150" s="143"/>
      <c r="K150" s="148"/>
      <c r="L150" s="148"/>
      <c r="M150" s="148"/>
      <c r="N150" s="149"/>
      <c r="O150" s="157"/>
    </row>
    <row r="151" spans="1:17">
      <c r="A151" s="155"/>
      <c r="D151" s="149"/>
      <c r="E151" s="156"/>
      <c r="F151" s="159"/>
      <c r="H151" s="144"/>
      <c r="J151" s="143"/>
      <c r="K151" s="148"/>
      <c r="L151" s="148"/>
      <c r="M151" s="148"/>
      <c r="N151" s="149"/>
      <c r="O151" s="151"/>
    </row>
    <row r="152" spans="1:17">
      <c r="A152" s="155"/>
      <c r="D152" s="149"/>
      <c r="E152" s="156"/>
      <c r="F152" s="159"/>
      <c r="H152" s="144"/>
      <c r="J152" s="143"/>
      <c r="K152" s="148"/>
      <c r="L152" s="148"/>
      <c r="M152" s="148"/>
      <c r="N152" s="149"/>
      <c r="O152" s="151"/>
    </row>
    <row r="153" spans="1:17">
      <c r="A153" s="155"/>
      <c r="D153" s="149"/>
      <c r="E153" s="156"/>
      <c r="F153" s="159"/>
      <c r="H153" s="144"/>
      <c r="J153" s="143"/>
      <c r="K153" s="148"/>
      <c r="L153" s="148"/>
      <c r="M153" s="148"/>
      <c r="N153" s="149"/>
      <c r="O153" s="151"/>
    </row>
    <row r="154" spans="1:17" ht="26.15" customHeight="1">
      <c r="A154" s="155"/>
      <c r="C154" s="277"/>
      <c r="D154" s="149"/>
      <c r="E154" s="156"/>
      <c r="F154" s="159"/>
      <c r="H154" s="144"/>
      <c r="J154" s="143"/>
      <c r="K154" s="148"/>
      <c r="L154" s="148"/>
      <c r="M154" s="148"/>
      <c r="N154" s="149"/>
      <c r="O154" s="151"/>
    </row>
    <row r="155" spans="1:17" ht="26.15" customHeight="1">
      <c r="A155" s="155"/>
      <c r="B155" s="277"/>
      <c r="C155" s="277"/>
      <c r="D155" s="149"/>
      <c r="E155" s="156"/>
      <c r="F155" s="159"/>
      <c r="H155" s="144"/>
      <c r="J155" s="143"/>
      <c r="K155" s="148"/>
      <c r="L155" s="148"/>
      <c r="M155" s="148"/>
      <c r="N155" s="149"/>
      <c r="O155" s="151"/>
    </row>
    <row r="156" spans="1:17" ht="26.15" customHeight="1">
      <c r="A156" s="155"/>
      <c r="B156" s="277"/>
      <c r="C156" s="277"/>
      <c r="D156" s="149"/>
      <c r="E156" s="156"/>
      <c r="F156" s="159"/>
      <c r="H156" s="144"/>
      <c r="J156" s="143"/>
      <c r="K156" s="148"/>
      <c r="L156" s="148"/>
      <c r="M156" s="148"/>
      <c r="N156" s="149"/>
      <c r="O156" s="151"/>
    </row>
    <row r="157" spans="1:17" ht="26.15" customHeight="1">
      <c r="A157" s="155"/>
      <c r="B157" s="277" t="s">
        <v>208</v>
      </c>
      <c r="C157" s="277"/>
      <c r="D157" s="149"/>
      <c r="E157" s="156"/>
      <c r="F157" s="159"/>
      <c r="H157" s="144"/>
      <c r="J157" s="143"/>
      <c r="K157" s="148"/>
      <c r="L157" s="148"/>
      <c r="M157" s="148"/>
      <c r="N157" s="149"/>
      <c r="O157" s="151"/>
    </row>
    <row r="158" spans="1:17">
      <c r="A158" s="174"/>
      <c r="B158" s="174"/>
      <c r="C158" s="174"/>
      <c r="D158" s="174"/>
      <c r="E158" s="174"/>
      <c r="F158" s="195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</row>
    <row r="159" spans="1:17" ht="45.45">
      <c r="A159" s="459" t="s">
        <v>0</v>
      </c>
      <c r="B159" s="459"/>
      <c r="C159" s="180"/>
      <c r="D159" s="180"/>
      <c r="E159" s="174"/>
      <c r="F159" s="174"/>
      <c r="G159" s="174"/>
      <c r="H159" s="174"/>
      <c r="I159" s="181" t="s">
        <v>1</v>
      </c>
      <c r="J159" s="181" t="s">
        <v>2</v>
      </c>
      <c r="K159" s="182">
        <f>K129</f>
        <v>45901</v>
      </c>
      <c r="L159" s="183" t="s">
        <v>3</v>
      </c>
      <c r="M159" s="182">
        <f>M129</f>
        <v>45930</v>
      </c>
      <c r="N159" s="181"/>
      <c r="O159" s="174"/>
      <c r="P159" s="174"/>
    </row>
    <row r="160" spans="1:17">
      <c r="A160" s="460" t="s">
        <v>4</v>
      </c>
      <c r="B160" s="460"/>
      <c r="C160" s="184" t="str">
        <f>C130</f>
        <v>Amanda Marcano Bahler</v>
      </c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</row>
    <row r="161" spans="1:18">
      <c r="A161" s="460" t="s">
        <v>5</v>
      </c>
      <c r="B161" s="460"/>
      <c r="C161" s="185"/>
      <c r="D161" s="174"/>
      <c r="E161" s="174"/>
      <c r="F161" s="174"/>
      <c r="G161" s="174"/>
      <c r="H161" s="174"/>
      <c r="I161" s="174"/>
      <c r="J161" s="174"/>
      <c r="K161" s="174"/>
      <c r="L161" s="174" t="s">
        <v>207</v>
      </c>
      <c r="M161" s="184">
        <v>192</v>
      </c>
      <c r="N161" s="174"/>
      <c r="O161" s="174"/>
      <c r="P161" s="174"/>
    </row>
    <row r="162" spans="1:18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</row>
    <row r="163" spans="1:18">
      <c r="A163" s="464" t="s">
        <v>7</v>
      </c>
      <c r="B163" s="464"/>
      <c r="C163" s="186" t="s">
        <v>22</v>
      </c>
      <c r="D163" s="174"/>
      <c r="E163" s="174"/>
      <c r="F163" s="174"/>
      <c r="G163" s="174"/>
      <c r="H163" s="174"/>
      <c r="I163" s="174"/>
      <c r="J163" s="174"/>
      <c r="K163" s="174"/>
      <c r="L163" s="460" t="s">
        <v>9</v>
      </c>
      <c r="M163" s="460"/>
      <c r="N163" s="174"/>
      <c r="O163" s="174"/>
      <c r="P163" s="174"/>
    </row>
    <row r="164" spans="1:18" s="152" customFormat="1" ht="76.3" customHeight="1">
      <c r="A164" s="198" t="s">
        <v>10</v>
      </c>
      <c r="B164" s="198" t="s">
        <v>11</v>
      </c>
      <c r="C164" s="198" t="s">
        <v>12</v>
      </c>
      <c r="D164" s="198" t="s">
        <v>201</v>
      </c>
      <c r="E164" s="198" t="s">
        <v>200</v>
      </c>
      <c r="F164" s="198" t="s">
        <v>13</v>
      </c>
      <c r="G164" s="198" t="s">
        <v>14</v>
      </c>
      <c r="H164" s="199" t="s">
        <v>15</v>
      </c>
      <c r="I164" s="198" t="s">
        <v>197</v>
      </c>
      <c r="J164" s="198" t="s">
        <v>9</v>
      </c>
      <c r="K164" s="198" t="s">
        <v>16</v>
      </c>
      <c r="L164" s="198" t="s">
        <v>196</v>
      </c>
      <c r="M164" s="198" t="s">
        <v>194</v>
      </c>
      <c r="N164" s="198" t="s">
        <v>240</v>
      </c>
      <c r="O164" s="198" t="s">
        <v>241</v>
      </c>
      <c r="P164" s="199" t="s">
        <v>191</v>
      </c>
      <c r="Q164" s="140"/>
      <c r="R164" s="161"/>
    </row>
    <row r="165" spans="1:18" ht="67.3" customHeight="1">
      <c r="A165" s="292">
        <v>73</v>
      </c>
      <c r="B165" s="293" t="str">
        <f>VLOOKUP(Tabla5121314_3417[[#This Row],[No. Exp]],Tabla6[],2)</f>
        <v>Rafael Tamarit Duany</v>
      </c>
      <c r="C165" s="292">
        <f>VLOOKUP(Tabla5121314_3417[[#This Row],[No. Exp]],Tabla6[],3)</f>
        <v>91061428505</v>
      </c>
      <c r="D165" s="294">
        <v>192</v>
      </c>
      <c r="E165" s="294">
        <f>VLOOKUP(Tabla5121314_3417[[#This Row],[No. Exp]],Tabla6[],5)</f>
        <v>40.103999999999999</v>
      </c>
      <c r="F165" s="295">
        <f>ROUND(Tabla5121314_3417[[#This Row],[Horas trabajadas]]*Tabla5121314_3417[[#This Row],[Tarifas x Horas]],0)</f>
        <v>7700</v>
      </c>
      <c r="G165" s="295"/>
      <c r="H165" s="295">
        <f>Tabla5121314_3417[[#This Row],[A Cobrar]]+Tabla5121314_3417[[#This Row],[Bonif]]</f>
        <v>7700</v>
      </c>
      <c r="I165" s="295"/>
      <c r="J165" s="296"/>
      <c r="K165" s="297">
        <f>Tabla5121314_3417[[#This Row],[Sal. Dev]]/24*Tabla5121314_3417[[#This Row],[Vacaciones]]</f>
        <v>0</v>
      </c>
      <c r="L165" s="295">
        <f>Tabla5121314_3417[[#This Row],[Sal. Dev]]-Tabla5121314_3417[[#This Row],[Ausencias]]+Tabla5121314_3417[[#This Row],[pago x vacaciones]]</f>
        <v>7700</v>
      </c>
      <c r="M165" s="295">
        <f>5%*Tabla5121314_3417[[#This Row],[Salario Neto]]</f>
        <v>385</v>
      </c>
      <c r="N165" s="294">
        <f>(9510-3260)*3%</f>
        <v>187.5</v>
      </c>
      <c r="O165" s="294"/>
      <c r="P165" s="298">
        <f>Tabla5121314_3417[[#This Row],[Sal. Dev]]-Tabla5121314_3417[[#This Row],[Ausencias]]+Tabla5121314_3417[[#This Row],[pago x vacaciones]]-Tabla5121314_3417[[#This Row],[importe Seg Social]]-Tabla5121314_3417[[#This Row],[Imp. Sobr. Ing. Per 3% (3260.00-9510.00)]]</f>
        <v>7127.5</v>
      </c>
    </row>
    <row r="166" spans="1:18" ht="78.900000000000006" customHeight="1">
      <c r="A166" s="292">
        <v>74</v>
      </c>
      <c r="B166" s="293" t="str">
        <f>VLOOKUP(Tabla5121314_3417[[#This Row],[No. Exp]],Tabla6[],2)</f>
        <v>Adriel Agramonte Bernaldes</v>
      </c>
      <c r="C166" s="292" t="str">
        <f>VLOOKUP(Tabla5121314_3417[[#This Row],[No. Exp]],Tabla6[],3)</f>
        <v>84072608329</v>
      </c>
      <c r="D166" s="294">
        <v>192</v>
      </c>
      <c r="E166" s="294">
        <f>VLOOKUP(Tabla5121314_3417[[#This Row],[No. Exp]],Tabla6[],5)</f>
        <v>41.145000000000003</v>
      </c>
      <c r="F166" s="295">
        <f>ROUND(Tabla5121314_3417[[#This Row],[Horas trabajadas]]*Tabla5121314_3417[[#This Row],[Tarifas x Horas]],0)</f>
        <v>7900</v>
      </c>
      <c r="G166" s="295"/>
      <c r="H166" s="295">
        <f>Tabla5121314_3417[[#This Row],[A Cobrar]]+Tabla5121314_3417[[#This Row],[Bonif]]</f>
        <v>7900</v>
      </c>
      <c r="I166" s="295"/>
      <c r="J166" s="296">
        <v>7</v>
      </c>
      <c r="K166" s="299">
        <f>Tabla5121314_3417[[#This Row],[Sal. Dev]]/24*Tabla5121314_3417[[#This Row],[Vacaciones]]</f>
        <v>2304.166666666667</v>
      </c>
      <c r="L166" s="294">
        <f>Tabla5121314_3417[[#This Row],[Sal. Dev]]-Tabla5121314_3417[[#This Row],[Ausencias]]+Tabla5121314_3417[[#This Row],[pago x vacaciones]]</f>
        <v>10204.166666666668</v>
      </c>
      <c r="M166" s="294">
        <f>5%*Tabla5121314_3417[[#This Row],[Salario Neto]]</f>
        <v>510.20833333333343</v>
      </c>
      <c r="N166" s="294">
        <f t="shared" ref="N166:N180" si="9">(9510-3260)*3%</f>
        <v>187.5</v>
      </c>
      <c r="O166" s="294">
        <f>(Tabla5121314_3417[[#This Row],[Salario Neto]]-9510)*5%</f>
        <v>34.708333333333393</v>
      </c>
      <c r="P166" s="298">
        <f>Tabla5121314_3417[[#This Row],[Sal. Dev]]-Tabla5121314_3417[[#This Row],[Ausencias]]+Tabla5121314_3417[[#This Row],[pago x vacaciones]]-Tabla5121314_3417[[#This Row],[importe Seg Social]]-Tabla5121314_3417[[#This Row],[Imp. Sobr. Ing. Per 3% (3260.00-9510.00)]]</f>
        <v>9506.4583333333339</v>
      </c>
    </row>
    <row r="167" spans="1:18" ht="74.599999999999994">
      <c r="A167" s="300">
        <v>75</v>
      </c>
      <c r="B167" s="293" t="str">
        <f>VLOOKUP(Tabla5121314_3417[[#This Row],[No. Exp]],Tabla6[],2)</f>
        <v>Orestes Yamir Domínguez de la Puente</v>
      </c>
      <c r="C167" s="301">
        <f>VLOOKUP(Tabla5121314_3417[[#This Row],[No. Exp]],Tabla6[],3)</f>
        <v>73041735285</v>
      </c>
      <c r="D167" s="294">
        <v>192</v>
      </c>
      <c r="E167" s="294">
        <f>VLOOKUP(Tabla5121314_3417[[#This Row],[No. Exp]],Tabla6[],5)</f>
        <v>41.145000000000003</v>
      </c>
      <c r="F167" s="295">
        <f>ROUND(Tabla5121314_3417[[#This Row],[Horas trabajadas]]*Tabla5121314_3417[[#This Row],[Tarifas x Horas]],0)</f>
        <v>7900</v>
      </c>
      <c r="G167" s="295"/>
      <c r="H167" s="295">
        <f>Tabla5121314_3417[[#This Row],[A Cobrar]]+Tabla5121314_3417[[#This Row],[Bonif]]</f>
        <v>7900</v>
      </c>
      <c r="I167" s="302"/>
      <c r="J167" s="296"/>
      <c r="K167" s="297">
        <f>Tabla5121314_3417[[#This Row],[Sal. Dev]]/24*Tabla5121314_3417[[#This Row],[Vacaciones]]</f>
        <v>0</v>
      </c>
      <c r="L167" s="295">
        <f>Tabla5121314_3417[[#This Row],[Sal. Dev]]-Tabla5121314_3417[[#This Row],[Ausencias]]+Tabla5121314_3417[[#This Row],[pago x vacaciones]]</f>
        <v>7900</v>
      </c>
      <c r="M167" s="295">
        <f>5%*Tabla5121314_3417[[#This Row],[Salario Neto]]</f>
        <v>395</v>
      </c>
      <c r="N167" s="294">
        <f t="shared" si="9"/>
        <v>187.5</v>
      </c>
      <c r="O167" s="294"/>
      <c r="P167" s="298">
        <f>Tabla5121314_3417[[#This Row],[Sal. Dev]]-Tabla5121314_3417[[#This Row],[Ausencias]]+Tabla5121314_3417[[#This Row],[pago x vacaciones]]-Tabla5121314_3417[[#This Row],[importe Seg Social]]-Tabla5121314_3417[[#This Row],[Imp. Sobr. Ing. Per 3% (3260.00-9510.00)]]</f>
        <v>7317.5</v>
      </c>
    </row>
    <row r="168" spans="1:18" ht="72" customHeight="1">
      <c r="A168" s="300">
        <v>76</v>
      </c>
      <c r="B168" s="293" t="str">
        <f>VLOOKUP(Tabla5121314_3417[[#This Row],[No. Exp]],Tabla6[],2)</f>
        <v>Alain Carboneres Lezcano</v>
      </c>
      <c r="C168" s="301">
        <f>VLOOKUP(Tabla5121314_3417[[#This Row],[No. Exp]],Tabla6[],3)</f>
        <v>79080814208</v>
      </c>
      <c r="D168" s="294">
        <f t="shared" ref="D168:D178" si="10">D167</f>
        <v>192</v>
      </c>
      <c r="E168" s="294">
        <f>VLOOKUP(Tabla5121314_3417[[#This Row],[No. Exp]],Tabla6[],5)</f>
        <v>41.145000000000003</v>
      </c>
      <c r="F168" s="295">
        <f>ROUND(Tabla5121314_3417[[#This Row],[Horas trabajadas]]*Tabla5121314_3417[[#This Row],[Tarifas x Horas]],0)</f>
        <v>7900</v>
      </c>
      <c r="G168" s="295"/>
      <c r="H168" s="295">
        <f>Tabla5121314_3417[[#This Row],[A Cobrar]]+Tabla5121314_3417[[#This Row],[Bonif]]</f>
        <v>7900</v>
      </c>
      <c r="I168" s="297"/>
      <c r="J168" s="296">
        <v>23.14</v>
      </c>
      <c r="K168" s="312">
        <v>5421.6</v>
      </c>
      <c r="L168" s="294">
        <f>Tabla5121314_3417[[#This Row],[Sal. Dev]]-Tabla5121314_3417[[#This Row],[Ausencias]]+Tabla5121314_3417[[#This Row],[pago x vacaciones]]</f>
        <v>13321.6</v>
      </c>
      <c r="M168" s="294">
        <f>5%*Tabla5121314_3417[[#This Row],[Salario Neto]]</f>
        <v>666.08</v>
      </c>
      <c r="N168" s="294">
        <f t="shared" si="9"/>
        <v>187.5</v>
      </c>
      <c r="O168" s="294">
        <f>(Tabla5121314_3417[[#This Row],[Salario Neto]]-9510)*5%</f>
        <v>190.58000000000004</v>
      </c>
      <c r="P168" s="298">
        <f>Tabla5121314_3417[[#This Row],[Sal. Dev]]-Tabla5121314_3417[[#This Row],[Ausencias]]+Tabla5121314_3417[[#This Row],[pago x vacaciones]]-Tabla5121314_3417[[#This Row],[importe Seg Social]]-Tabla5121314_3417[[#This Row],[Imp. Sobr. Ing. Per 3% (3260.00-9510.00)]]-Tabla5121314_3417[[#This Row],[Imp. Sobr. Ing. Per 5% (9510.00-15000.00)]]</f>
        <v>12277.44</v>
      </c>
    </row>
    <row r="169" spans="1:18" ht="64.75" customHeight="1">
      <c r="A169" s="300">
        <v>77</v>
      </c>
      <c r="B169" s="293" t="str">
        <f>VLOOKUP(Tabla5121314_3417[[#This Row],[No. Exp]],Tabla6[],2)</f>
        <v>Adrián Tejeda Lobaina</v>
      </c>
      <c r="C169" s="301">
        <f>VLOOKUP(Tabla5121314_3417[[#This Row],[No. Exp]],Tabla6[],3)</f>
        <v>92080705868</v>
      </c>
      <c r="D169" s="294">
        <f t="shared" si="10"/>
        <v>192</v>
      </c>
      <c r="E169" s="294">
        <f>VLOOKUP(Tabla5121314_3417[[#This Row],[No. Exp]],Tabla6[],5)</f>
        <v>41.145000000000003</v>
      </c>
      <c r="F169" s="295">
        <f>ROUND(Tabla5121314_3417[[#This Row],[Horas trabajadas]]*Tabla5121314_3417[[#This Row],[Tarifas x Horas]],0)</f>
        <v>7900</v>
      </c>
      <c r="G169" s="295"/>
      <c r="H169" s="295">
        <f>Tabla5121314_3417[[#This Row],[A Cobrar]]+Tabla5121314_3417[[#This Row],[Bonif]]</f>
        <v>7900</v>
      </c>
      <c r="I169" s="297"/>
      <c r="J169" s="296">
        <v>21.78</v>
      </c>
      <c r="K169" s="315">
        <v>5390.37</v>
      </c>
      <c r="L169" s="295">
        <f>Tabla5121314_3417[[#This Row],[Sal. Dev]]-Tabla5121314_3417[[#This Row],[Ausencias]]+Tabla5121314_3417[[#This Row],[pago x vacaciones]]</f>
        <v>13290.369999999999</v>
      </c>
      <c r="M169" s="295">
        <f>5%*Tabla5121314_3417[[#This Row],[Salario Neto]]</f>
        <v>664.51850000000002</v>
      </c>
      <c r="N169" s="294">
        <f t="shared" si="9"/>
        <v>187.5</v>
      </c>
      <c r="O169" s="294"/>
      <c r="P169" s="298">
        <f>Tabla5121314_3417[[#This Row],[Sal. Dev]]-Tabla5121314_3417[[#This Row],[Ausencias]]+Tabla5121314_3417[[#This Row],[pago x vacaciones]]-Tabla5121314_3417[[#This Row],[importe Seg Social]]-Tabla5121314_3417[[#This Row],[Imp. Sobr. Ing. Per 3% (3260.00-9510.00)]]</f>
        <v>12438.351499999999</v>
      </c>
    </row>
    <row r="170" spans="1:18" ht="64.75" customHeight="1">
      <c r="A170" s="300">
        <v>78</v>
      </c>
      <c r="B170" s="293" t="str">
        <f>VLOOKUP(Tabla5121314_3417[[#This Row],[No. Exp]],Tabla6[],2)</f>
        <v>Ernesto Roque Portal</v>
      </c>
      <c r="C170" s="301">
        <f>VLOOKUP(Tabla5121314_3417[[#This Row],[No. Exp]],Tabla6[],3)</f>
        <v>89021020183</v>
      </c>
      <c r="D170" s="294">
        <f t="shared" si="10"/>
        <v>192</v>
      </c>
      <c r="E170" s="294">
        <f>VLOOKUP(Tabla5121314_3417[[#This Row],[No. Exp]],Tabla6[],5)</f>
        <v>41.145000000000003</v>
      </c>
      <c r="F170" s="295">
        <f>ROUND(Tabla5121314_3417[[#This Row],[Horas trabajadas]]*Tabla5121314_3417[[#This Row],[Tarifas x Horas]],0)</f>
        <v>7900</v>
      </c>
      <c r="G170" s="295"/>
      <c r="H170" s="295">
        <f>Tabla5121314_3417[[#This Row],[A Cobrar]]+Tabla5121314_3417[[#This Row],[Bonif]]</f>
        <v>7900</v>
      </c>
      <c r="I170" s="297"/>
      <c r="J170" s="296"/>
      <c r="K170" s="297">
        <f>Tabla5121314_3417[[#This Row],[Sal. Dev]]/24*Tabla5121314_3417[[#This Row],[Vacaciones]]</f>
        <v>0</v>
      </c>
      <c r="L170" s="295">
        <f>Tabla5121314_3417[[#This Row],[Sal. Dev]]-Tabla5121314_3417[[#This Row],[Ausencias]]+Tabla5121314_3417[[#This Row],[pago x vacaciones]]</f>
        <v>7900</v>
      </c>
      <c r="M170" s="295">
        <f>5%*Tabla5121314_3417[[#This Row],[Salario Neto]]</f>
        <v>395</v>
      </c>
      <c r="N170" s="294">
        <f t="shared" si="9"/>
        <v>187.5</v>
      </c>
      <c r="O170" s="294"/>
      <c r="P170" s="298">
        <f>Tabla5121314_3417[[#This Row],[Sal. Dev]]-Tabla5121314_3417[[#This Row],[Ausencias]]+Tabla5121314_3417[[#This Row],[pago x vacaciones]]-Tabla5121314_3417[[#This Row],[importe Seg Social]]-Tabla5121314_3417[[#This Row],[Imp. Sobr. Ing. Per 3% (3260.00-9510.00)]]</f>
        <v>7317.5</v>
      </c>
    </row>
    <row r="171" spans="1:18" ht="67.3" customHeight="1">
      <c r="A171" s="300">
        <v>79</v>
      </c>
      <c r="B171" s="303" t="str">
        <f>VLOOKUP(Tabla5121314_3417[[#This Row],[No. Exp]],Tabla6[],2)</f>
        <v>Rogelio Catá Limonta</v>
      </c>
      <c r="C171" s="300">
        <f>VLOOKUP(Tabla5121314_3417[[#This Row],[No. Exp]],Tabla6[],3)</f>
        <v>59021430287</v>
      </c>
      <c r="D171" s="294">
        <f t="shared" si="10"/>
        <v>192</v>
      </c>
      <c r="E171" s="299">
        <f>VLOOKUP(Tabla5121314_3417[[#This Row],[No. Exp]],Tabla6[],5)</f>
        <v>41.145000000000003</v>
      </c>
      <c r="F171" s="297">
        <f>ROUND(Tabla5121314_3417[[#This Row],[Horas trabajadas]]*Tabla5121314_3417[[#This Row],[Tarifas x Horas]],0)</f>
        <v>7900</v>
      </c>
      <c r="G171" s="297"/>
      <c r="H171" s="297">
        <f>Tabla5121314_3417[[#This Row],[A Cobrar]]+Tabla5121314_3417[[#This Row],[Bonif]]</f>
        <v>7900</v>
      </c>
      <c r="I171" s="297"/>
      <c r="J171" s="296"/>
      <c r="K171" s="297">
        <f>Tabla5121314_3417[[#This Row],[Sal. Dev]]/24*Tabla5121314_3417[[#This Row],[Vacaciones]]</f>
        <v>0</v>
      </c>
      <c r="L171" s="295">
        <f>Tabla5121314_3417[[#This Row],[Sal. Dev]]-Tabla5121314_3417[[#This Row],[Ausencias]]+Tabla5121314_3417[[#This Row],[pago x vacaciones]]</f>
        <v>7900</v>
      </c>
      <c r="M171" s="295">
        <f>5%*Tabla5121314_3417[[#This Row],[Salario Neto]]</f>
        <v>395</v>
      </c>
      <c r="N171" s="294">
        <f t="shared" si="9"/>
        <v>187.5</v>
      </c>
      <c r="O171" s="294"/>
      <c r="P171" s="298">
        <f>Tabla5121314_3417[[#This Row],[Sal. Dev]]-Tabla5121314_3417[[#This Row],[Ausencias]]+Tabla5121314_3417[[#This Row],[pago x vacaciones]]-Tabla5121314_3417[[#This Row],[importe Seg Social]]-Tabla5121314_3417[[#This Row],[Imp. Sobr. Ing. Per 3% (3260.00-9510.00)]]</f>
        <v>7317.5</v>
      </c>
    </row>
    <row r="172" spans="1:18" ht="70.3" customHeight="1">
      <c r="A172" s="300">
        <v>80</v>
      </c>
      <c r="B172" s="303" t="str">
        <f>VLOOKUP(Tabla5121314_3417[[#This Row],[No. Exp]],Tabla6[],2)</f>
        <v xml:space="preserve">Datney Moreno Romero </v>
      </c>
      <c r="C172" s="300" t="str">
        <f>VLOOKUP(Tabla5121314_3417[[#This Row],[No. Exp]],Tabla6[],3)</f>
        <v>771117066071</v>
      </c>
      <c r="D172" s="294">
        <f t="shared" si="10"/>
        <v>192</v>
      </c>
      <c r="E172" s="299">
        <f>VLOOKUP(Tabla5121314_3417[[#This Row],[No. Exp]],Tabla6[],5)</f>
        <v>41.145000000000003</v>
      </c>
      <c r="F172" s="297">
        <f>ROUND(Tabla5121314_3417[[#This Row],[Horas trabajadas]]*Tabla5121314_3417[[#This Row],[Tarifas x Horas]],0)</f>
        <v>7900</v>
      </c>
      <c r="G172" s="297"/>
      <c r="H172" s="297">
        <f>Tabla5121314_3417[[#This Row],[A Cobrar]]+Tabla5121314_3417[[#This Row],[Bonif]]</f>
        <v>7900</v>
      </c>
      <c r="I172" s="297"/>
      <c r="J172" s="296"/>
      <c r="K172" s="297">
        <f>Tabla5121314_3417[[#This Row],[Sal. Dev]]/24*Tabla5121314_3417[[#This Row],[Vacaciones]]</f>
        <v>0</v>
      </c>
      <c r="L172" s="295">
        <f>Tabla5121314_3417[[#This Row],[Sal. Dev]]-Tabla5121314_3417[[#This Row],[Ausencias]]+Tabla5121314_3417[[#This Row],[pago x vacaciones]]</f>
        <v>7900</v>
      </c>
      <c r="M172" s="295">
        <f>5%*Tabla5121314_3417[[#This Row],[Salario Neto]]</f>
        <v>395</v>
      </c>
      <c r="N172" s="294">
        <f t="shared" si="9"/>
        <v>187.5</v>
      </c>
      <c r="O172" s="294"/>
      <c r="P172" s="298">
        <f>Tabla5121314_3417[[#This Row],[Sal. Dev]]-Tabla5121314_3417[[#This Row],[Ausencias]]+Tabla5121314_3417[[#This Row],[pago x vacaciones]]-Tabla5121314_3417[[#This Row],[importe Seg Social]]-Tabla5121314_3417[[#This Row],[Imp. Sobr. Ing. Per 3% (3260.00-9510.00)]]</f>
        <v>7317.5</v>
      </c>
    </row>
    <row r="173" spans="1:18" ht="63.45" customHeight="1">
      <c r="A173" s="300">
        <v>81</v>
      </c>
      <c r="B173" s="303" t="str">
        <f>VLOOKUP(Tabla5121314_3417[[#This Row],[No. Exp]],Tabla6[],2)</f>
        <v>Enrique Roque Barreras</v>
      </c>
      <c r="C173" s="300">
        <f>VLOOKUP(Tabla5121314_3417[[#This Row],[No. Exp]],Tabla6[],3)</f>
        <v>62071512741</v>
      </c>
      <c r="D173" s="294">
        <f t="shared" si="10"/>
        <v>192</v>
      </c>
      <c r="E173" s="299">
        <f>VLOOKUP(Tabla5121314_3417[[#This Row],[No. Exp]],Tabla6[],5)</f>
        <v>41.145000000000003</v>
      </c>
      <c r="F173" s="297">
        <f>ROUND(Tabla5121314_3417[[#This Row],[Horas trabajadas]]*Tabla5121314_3417[[#This Row],[Tarifas x Horas]],0)</f>
        <v>7900</v>
      </c>
      <c r="G173" s="297"/>
      <c r="H173" s="297">
        <f>Tabla5121314_3417[[#This Row],[A Cobrar]]+Tabla5121314_3417[[#This Row],[Bonif]]</f>
        <v>7900</v>
      </c>
      <c r="I173" s="297"/>
      <c r="J173" s="296"/>
      <c r="K173" s="299">
        <f>Tabla5121314_3417[[#This Row],[Sal. Dev]]/24*Tabla5121314_3417[[#This Row],[Vacaciones]]</f>
        <v>0</v>
      </c>
      <c r="L173" s="294">
        <f>Tabla5121314_3417[[#This Row],[Sal. Dev]]-Tabla5121314_3417[[#This Row],[Ausencias]]+Tabla5121314_3417[[#This Row],[pago x vacaciones]]</f>
        <v>7900</v>
      </c>
      <c r="M173" s="294">
        <f>5%*Tabla5121314_3417[[#This Row],[Salario Neto]]</f>
        <v>395</v>
      </c>
      <c r="N173" s="294">
        <f t="shared" si="9"/>
        <v>187.5</v>
      </c>
      <c r="O173" s="294"/>
      <c r="P173" s="298">
        <f>Tabla5121314_3417[[#This Row],[Sal. Dev]]-Tabla5121314_3417[[#This Row],[Ausencias]]+Tabla5121314_3417[[#This Row],[pago x vacaciones]]-Tabla5121314_3417[[#This Row],[importe Seg Social]]-Tabla5121314_3417[[#This Row],[Imp. Sobr. Ing. Per 3% (3260.00-9510.00)]]</f>
        <v>7317.5</v>
      </c>
    </row>
    <row r="174" spans="1:18" s="158" customFormat="1" ht="64.75" customHeight="1">
      <c r="A174" s="304">
        <v>82</v>
      </c>
      <c r="B174" s="305" t="str">
        <f>VLOOKUP(Tabla5121314_3417[[#This Row],[No. Exp]],Tabla6[],2)</f>
        <v>Geiler Vergara del Llano</v>
      </c>
      <c r="C174" s="304">
        <f>VLOOKUP(Tabla5121314_3417[[#This Row],[No. Exp]],Tabla6[],3)</f>
        <v>85052425849</v>
      </c>
      <c r="D174" s="306">
        <f t="shared" si="10"/>
        <v>192</v>
      </c>
      <c r="E174" s="307">
        <f>VLOOKUP(Tabla5121314_3417[[#This Row],[No. Exp]],Tabla6[],5)</f>
        <v>41.145000000000003</v>
      </c>
      <c r="F174" s="308">
        <f>ROUND(Tabla5121314_3417[[#This Row],[Horas trabajadas]]*Tabla5121314_3417[[#This Row],[Tarifas x Horas]],0)</f>
        <v>7900</v>
      </c>
      <c r="G174" s="308"/>
      <c r="H174" s="308">
        <f>Tabla5121314_3417[[#This Row],[A Cobrar]]+Tabla5121314_3417[[#This Row],[Bonif]]</f>
        <v>7900</v>
      </c>
      <c r="I174" s="308"/>
      <c r="J174" s="309">
        <v>24.52</v>
      </c>
      <c r="K174" s="310">
        <v>6324.39</v>
      </c>
      <c r="L174" s="306">
        <f>Tabla5121314_3417[[#This Row],[Sal. Dev]]-Tabla5121314_3417[[#This Row],[Ausencias]]+Tabla5121314_3417[[#This Row],[pago x vacaciones]]</f>
        <v>14224.39</v>
      </c>
      <c r="M174" s="306">
        <f>5%*Tabla5121314_3417[[#This Row],[Salario Neto]]</f>
        <v>711.21950000000004</v>
      </c>
      <c r="N174" s="306">
        <f t="shared" si="9"/>
        <v>187.5</v>
      </c>
      <c r="O174" s="306">
        <f>(Tabla5121314_3417[[#This Row],[Salario Neto]]-9510)*5%</f>
        <v>235.71949999999998</v>
      </c>
      <c r="P174" s="311">
        <f>Tabla5121314_3417[[#This Row],[Sal. Dev]]-Tabla5121314_3417[[#This Row],[Ausencias]]+Tabla5121314_3417[[#This Row],[pago x vacaciones]]-Tabla5121314_3417[[#This Row],[importe Seg Social]]-Tabla5121314_3417[[#This Row],[Imp. Sobr. Ing. Per 3% (3260.00-9510.00)]]-Tabla5121314_3417[[#This Row],[Imp. Sobr. Ing. Per 5% (9510.00-15000.00)]]</f>
        <v>13089.951000000001</v>
      </c>
      <c r="Q174" s="140"/>
    </row>
    <row r="175" spans="1:18" ht="62.15" customHeight="1">
      <c r="A175" s="300">
        <v>83</v>
      </c>
      <c r="B175" s="303" t="str">
        <f>VLOOKUP(Tabla5121314_3417[[#This Row],[No. Exp]],Tabla6[],2)</f>
        <v>José Manuel Azahares Tejeda</v>
      </c>
      <c r="C175" s="300" t="str">
        <f>VLOOKUP(Tabla5121314_3417[[#This Row],[No. Exp]],Tabla6[],3)</f>
        <v>86090125783</v>
      </c>
      <c r="D175" s="294">
        <f t="shared" si="10"/>
        <v>192</v>
      </c>
      <c r="E175" s="299">
        <f>VLOOKUP(Tabla5121314_3417[[#This Row],[No. Exp]],Tabla6[],5)</f>
        <v>41.145000000000003</v>
      </c>
      <c r="F175" s="297">
        <f>ROUND(Tabla5121314_3417[[#This Row],[Horas trabajadas]]*Tabla5121314_3417[[#This Row],[Tarifas x Horas]],0)</f>
        <v>7900</v>
      </c>
      <c r="G175" s="297"/>
      <c r="H175" s="297">
        <f>Tabla5121314_3417[[#This Row],[A Cobrar]]+Tabla5121314_3417[[#This Row],[Bonif]]</f>
        <v>7900</v>
      </c>
      <c r="I175" s="297"/>
      <c r="J175" s="296"/>
      <c r="K175" s="312">
        <f>Tabla5121314_3417[[#This Row],[Sal. Dev]]/24*Tabla5121314_3417[[#This Row],[Vacaciones]]</f>
        <v>0</v>
      </c>
      <c r="L175" s="295">
        <f>Tabla5121314_3417[[#This Row],[Sal. Dev]]-Tabla5121314_3417[[#This Row],[Ausencias]]+Tabla5121314_3417[[#This Row],[pago x vacaciones]]</f>
        <v>7900</v>
      </c>
      <c r="M175" s="295">
        <f>5%*Tabla5121314_3417[[#This Row],[Salario Neto]]</f>
        <v>395</v>
      </c>
      <c r="N175" s="294">
        <f t="shared" si="9"/>
        <v>187.5</v>
      </c>
      <c r="O175" s="294"/>
      <c r="P175" s="298">
        <f>Tabla5121314_3417[[#This Row],[Sal. Dev]]-Tabla5121314_3417[[#This Row],[Ausencias]]+Tabla5121314_3417[[#This Row],[pago x vacaciones]]-Tabla5121314_3417[[#This Row],[importe Seg Social]]-Tabla5121314_3417[[#This Row],[Imp. Sobr. Ing. Per 3% (3260.00-9510.00)]]</f>
        <v>7317.5</v>
      </c>
    </row>
    <row r="176" spans="1:18" ht="66" customHeight="1">
      <c r="A176" s="300">
        <v>84</v>
      </c>
      <c r="B176" s="303" t="str">
        <f>VLOOKUP(Tabla5121314_3417[[#This Row],[No. Exp]],Tabla6[],2)</f>
        <v xml:space="preserve"> Yensy Del Moral Domínguez</v>
      </c>
      <c r="C176" s="300" t="str">
        <f>VLOOKUP(Tabla5121314_3417[[#This Row],[No. Exp]],Tabla6[],3)</f>
        <v>82080307769</v>
      </c>
      <c r="D176" s="294">
        <f t="shared" si="10"/>
        <v>192</v>
      </c>
      <c r="E176" s="299">
        <f>VLOOKUP(Tabla5121314_3417[[#This Row],[No. Exp]],Tabla6[],5)</f>
        <v>41.145000000000003</v>
      </c>
      <c r="F176" s="297">
        <f>ROUND(Tabla5121314_3417[[#This Row],[Horas trabajadas]]*Tabla5121314_3417[[#This Row],[Tarifas x Horas]],0)</f>
        <v>7900</v>
      </c>
      <c r="G176" s="297"/>
      <c r="H176" s="297">
        <f>Tabla5121314_3417[[#This Row],[A Cobrar]]+Tabla5121314_3417[[#This Row],[Bonif]]</f>
        <v>7900</v>
      </c>
      <c r="I176" s="297"/>
      <c r="J176" s="296"/>
      <c r="K176" s="312">
        <f>Tabla5121314_3417[[#This Row],[Sal. Dev]]/24*Tabla5121314_3417[[#This Row],[Vacaciones]]</f>
        <v>0</v>
      </c>
      <c r="L176" s="295">
        <f>Tabla5121314_3417[[#This Row],[Sal. Dev]]-Tabla5121314_3417[[#This Row],[Ausencias]]+Tabla5121314_3417[[#This Row],[pago x vacaciones]]</f>
        <v>7900</v>
      </c>
      <c r="M176" s="295">
        <f>5%*Tabla5121314_3417[[#This Row],[Salario Neto]]</f>
        <v>395</v>
      </c>
      <c r="N176" s="294">
        <f t="shared" si="9"/>
        <v>187.5</v>
      </c>
      <c r="O176" s="294"/>
      <c r="P176" s="298">
        <f>Tabla5121314_3417[[#This Row],[Sal. Dev]]-Tabla5121314_3417[[#This Row],[Ausencias]]+Tabla5121314_3417[[#This Row],[pago x vacaciones]]-Tabla5121314_3417[[#This Row],[importe Seg Social]]-Tabla5121314_3417[[#This Row],[Imp. Sobr. Ing. Per 3% (3260.00-9510.00)]]</f>
        <v>7317.5</v>
      </c>
    </row>
    <row r="177" spans="1:16" ht="59.15" customHeight="1">
      <c r="A177" s="300">
        <v>87</v>
      </c>
      <c r="B177" s="303" t="str">
        <f>VLOOKUP(Tabla5121314_3417[[#This Row],[No. Exp]],Tabla6[],2)</f>
        <v>Osvaldo Yasmany Oro Santiesteban</v>
      </c>
      <c r="C177" s="300" t="str">
        <f>VLOOKUP(Tabla5121314_3417[[#This Row],[No. Exp]],Tabla6[],3)</f>
        <v>90112141409</v>
      </c>
      <c r="D177" s="294">
        <f t="shared" si="10"/>
        <v>192</v>
      </c>
      <c r="E177" s="299">
        <f>VLOOKUP(Tabla5121314_3417[[#This Row],[No. Exp]],Tabla6[],5)</f>
        <v>41.145000000000003</v>
      </c>
      <c r="F177" s="297">
        <f>ROUND(Tabla5121314_3417[[#This Row],[Horas trabajadas]]*Tabla5121314_3417[[#This Row],[Tarifas x Horas]],0)</f>
        <v>7900</v>
      </c>
      <c r="G177" s="297"/>
      <c r="H177" s="297">
        <f>Tabla5121314_3417[[#This Row],[A Cobrar]]+Tabla5121314_3417[[#This Row],[Bonif]]</f>
        <v>7900</v>
      </c>
      <c r="I177" s="297"/>
      <c r="J177" s="296">
        <v>7</v>
      </c>
      <c r="K177" s="312">
        <f>Tabla5121314_3417[[#This Row],[Sal. Dev]]/24*Tabla5121314_3417[[#This Row],[Vacaciones]]</f>
        <v>2304.166666666667</v>
      </c>
      <c r="L177" s="294">
        <f>Tabla5121314_3417[[#This Row],[Sal. Dev]]-Tabla5121314_3417[[#This Row],[Ausencias]]+Tabla5121314_3417[[#This Row],[pago x vacaciones]]</f>
        <v>10204.166666666668</v>
      </c>
      <c r="M177" s="294">
        <f>5%*Tabla5121314_3417[[#This Row],[Salario Neto]]</f>
        <v>510.20833333333343</v>
      </c>
      <c r="N177" s="294">
        <f t="shared" si="9"/>
        <v>187.5</v>
      </c>
      <c r="O177" s="294">
        <f>(Tabla5121314_3417[[#This Row],[Salario Neto]]-9510)*5%</f>
        <v>34.708333333333393</v>
      </c>
      <c r="P177" s="298">
        <f>Tabla5121314_3417[[#This Row],[Sal. Dev]]-Tabla5121314_3417[[#This Row],[Ausencias]]+Tabla5121314_3417[[#This Row],[pago x vacaciones]]-Tabla5121314_3417[[#This Row],[importe Seg Social]]-Tabla5121314_3417[[#This Row],[Imp. Sobr. Ing. Per 3% (3260.00-9510.00)]]</f>
        <v>9506.4583333333339</v>
      </c>
    </row>
    <row r="178" spans="1:16" ht="62.15" customHeight="1">
      <c r="A178" s="300">
        <v>88</v>
      </c>
      <c r="B178" s="303" t="str">
        <f>VLOOKUP(Tabla5121314_3417[[#This Row],[No. Exp]],Tabla6[],2)</f>
        <v>Felix David Del Monte Balbuena</v>
      </c>
      <c r="C178" s="300" t="str">
        <f>VLOOKUP(Tabla5121314_3417[[#This Row],[No. Exp]],Tabla6[],3)</f>
        <v>96071809627</v>
      </c>
      <c r="D178" s="294">
        <f t="shared" si="10"/>
        <v>192</v>
      </c>
      <c r="E178" s="299">
        <f>VLOOKUP(Tabla5121314_3417[[#This Row],[No. Exp]],Tabla6[],5)</f>
        <v>41.145000000000003</v>
      </c>
      <c r="F178" s="297">
        <f>ROUND(Tabla5121314_3417[[#This Row],[Horas trabajadas]]*Tabla5121314_3417[[#This Row],[Tarifas x Horas]],0)</f>
        <v>7900</v>
      </c>
      <c r="G178" s="297"/>
      <c r="H178" s="297">
        <f>Tabla5121314_3417[[#This Row],[A Cobrar]]+Tabla5121314_3417[[#This Row],[Bonif]]</f>
        <v>7900</v>
      </c>
      <c r="I178" s="297"/>
      <c r="J178" s="296"/>
      <c r="K178" s="312">
        <f>Tabla5121314_3417[[#This Row],[Sal. Dev]]/24*Tabla5121314_3417[[#This Row],[Vacaciones]]</f>
        <v>0</v>
      </c>
      <c r="L178" s="295">
        <f>Tabla5121314_3417[[#This Row],[Sal. Dev]]-Tabla5121314_3417[[#This Row],[Ausencias]]+Tabla5121314_3417[[#This Row],[pago x vacaciones]]</f>
        <v>7900</v>
      </c>
      <c r="M178" s="295">
        <f>5%*Tabla5121314_3417[[#This Row],[Salario Neto]]</f>
        <v>395</v>
      </c>
      <c r="N178" s="294">
        <f t="shared" si="9"/>
        <v>187.5</v>
      </c>
      <c r="O178" s="294"/>
      <c r="P178" s="298">
        <f>Tabla5121314_3417[[#This Row],[Sal. Dev]]-Tabla5121314_3417[[#This Row],[Ausencias]]+Tabla5121314_3417[[#This Row],[pago x vacaciones]]-Tabla5121314_3417[[#This Row],[importe Seg Social]]-Tabla5121314_3417[[#This Row],[Imp. Sobr. Ing. Per 3% (3260.00-9510.00)]]</f>
        <v>7317.5</v>
      </c>
    </row>
    <row r="179" spans="1:16" ht="54" customHeight="1">
      <c r="A179" s="300">
        <v>107</v>
      </c>
      <c r="B179" s="303" t="str">
        <f>VLOOKUP(Tabla5121314_3417[[#This Row],[No. Exp]],Tabla6[],2)</f>
        <v>Lester Francisco Armas Dieguez</v>
      </c>
      <c r="C179" s="300" t="str">
        <f>VLOOKUP(Tabla5121314_3417[[#This Row],[No. Exp]],Tabla6[],3)</f>
        <v>00120667441</v>
      </c>
      <c r="D179" s="299">
        <v>192</v>
      </c>
      <c r="E179" s="294">
        <f>VLOOKUP(Tabla5121314_3417[[#This Row],[No. Exp]],Tabla6[],5)</f>
        <v>41.145000000000003</v>
      </c>
      <c r="F179" s="297">
        <f>ROUND(Tabla5121314_3417[[#This Row],[Horas trabajadas]]*Tabla5121314_3417[[#This Row],[Tarifas x Horas]],0)</f>
        <v>7900</v>
      </c>
      <c r="G179" s="297"/>
      <c r="H179" s="297">
        <f>Tabla5121314_3417[[#This Row],[A Cobrar]]+Tabla5121314_3417[[#This Row],[Bonif]]</f>
        <v>7900</v>
      </c>
      <c r="I179" s="313"/>
      <c r="J179" s="296"/>
      <c r="K179" s="312">
        <f>Tabla5121314_3417[[#This Row],[Sal. Dev]]/24*Tabla5121314_3417[[#This Row],[Vacaciones]]</f>
        <v>0</v>
      </c>
      <c r="L179" s="294">
        <f>Tabla5121314_3417[[#This Row],[Sal. Dev]]-Tabla5121314_3417[[#This Row],[Ausencias]]+Tabla5121314_3417[[#This Row],[pago x vacaciones]]</f>
        <v>7900</v>
      </c>
      <c r="M179" s="314">
        <f>5%*Tabla5121314_3417[[#This Row],[Salario Neto]]</f>
        <v>395</v>
      </c>
      <c r="N179" s="294">
        <f t="shared" si="9"/>
        <v>187.5</v>
      </c>
      <c r="O179" s="294"/>
      <c r="P179" s="298">
        <f>Tabla5121314_3417[[#This Row],[Sal. Dev]]-Tabla5121314_3417[[#This Row],[Ausencias]]+Tabla5121314_3417[[#This Row],[pago x vacaciones]]-Tabla5121314_3417[[#This Row],[importe Seg Social]]-Tabla5121314_3417[[#This Row],[Imp. Sobr. Ing. Per 3% (3260.00-9510.00)]]</f>
        <v>7317.5</v>
      </c>
    </row>
    <row r="180" spans="1:16" ht="57.9" customHeight="1">
      <c r="A180" s="300">
        <v>96</v>
      </c>
      <c r="B180" s="303" t="str">
        <f>VLOOKUP(Tabla5121314_3417[[#This Row],[No. Exp]],Tabla6[],2)</f>
        <v xml:space="preserve">Eriel Martínez Durán </v>
      </c>
      <c r="C180" s="300">
        <f>VLOOKUP(Tabla5121314_3417[[#This Row],[No. Exp]],Tabla6[],3)</f>
        <v>98022608200</v>
      </c>
      <c r="D180" s="299">
        <v>192</v>
      </c>
      <c r="E180" s="294">
        <f>VLOOKUP(Tabla5121314_3417[[#This Row],[No. Exp]],Tabla6[],5)</f>
        <v>41.145000000000003</v>
      </c>
      <c r="F180" s="297">
        <f>ROUND(Tabla5121314_3417[[#This Row],[Horas trabajadas]]*Tabla5121314_3417[[#This Row],[Tarifas x Horas]],0)</f>
        <v>7900</v>
      </c>
      <c r="G180" s="297"/>
      <c r="H180" s="297">
        <f>Tabla5121314_3417[[#This Row],[A Cobrar]]+Tabla5121314_3417[[#This Row],[Bonif]]</f>
        <v>7900</v>
      </c>
      <c r="I180" s="313"/>
      <c r="J180" s="297"/>
      <c r="K180" s="315">
        <f>Tabla5121314_3417[[#This Row],[Sal. Dev]]/24*Tabla5121314_3417[[#This Row],[Vacaciones]]</f>
        <v>0</v>
      </c>
      <c r="L180" s="297">
        <f>Tabla5121314_3417[[#This Row],[Sal. Dev]]-Tabla5121314_3417[[#This Row],[Ausencias]]</f>
        <v>7900</v>
      </c>
      <c r="M180" s="297">
        <f>5%*Tabla5121314_3417[[#This Row],[Salario Neto]]</f>
        <v>395</v>
      </c>
      <c r="N180" s="294">
        <f t="shared" si="9"/>
        <v>187.5</v>
      </c>
      <c r="O180" s="294"/>
      <c r="P180" s="313">
        <f>Tabla5121314_3417[[#This Row],[Sal. Dev]]-Tabla5121314_3417[[#This Row],[Ausencias]]+Tabla5121314_3417[[#This Row],[pago x vacaciones]]-Tabla5121314_3417[[#This Row],[importe Seg Social]]-Tabla5121314_3417[[#This Row],[Imp. Sobr. Ing. Per 3% (3260.00-9510.00)]]</f>
        <v>7317.5</v>
      </c>
    </row>
    <row r="181" spans="1:16" ht="57.9" customHeight="1">
      <c r="A181" s="211"/>
      <c r="B181" s="280"/>
      <c r="C181" s="211"/>
      <c r="D181" s="281"/>
      <c r="E181" s="206"/>
      <c r="F181" s="213"/>
      <c r="G181" s="213"/>
      <c r="H181" s="213"/>
      <c r="I181" s="289"/>
      <c r="J181" s="213"/>
      <c r="K181" s="290"/>
      <c r="L181" s="213"/>
      <c r="M181" s="213"/>
      <c r="N181" s="206"/>
      <c r="O181" s="206"/>
      <c r="P181" s="289"/>
    </row>
    <row r="182" spans="1:16" ht="57.9" customHeight="1">
      <c r="A182" s="211"/>
      <c r="B182" s="280"/>
      <c r="C182" s="211"/>
      <c r="D182" s="281"/>
      <c r="E182" s="206"/>
      <c r="F182" s="213"/>
      <c r="G182" s="213"/>
      <c r="H182" s="213"/>
      <c r="I182" s="289"/>
      <c r="J182" s="213"/>
      <c r="K182" s="290"/>
      <c r="L182" s="213"/>
      <c r="M182" s="213"/>
      <c r="N182" s="206"/>
      <c r="O182" s="206"/>
      <c r="P182" s="289"/>
    </row>
    <row r="183" spans="1:16" ht="57.9" customHeight="1">
      <c r="A183" s="211"/>
      <c r="B183" s="280"/>
      <c r="C183" s="211"/>
      <c r="D183" s="281"/>
      <c r="E183" s="206"/>
      <c r="F183" s="213"/>
      <c r="G183" s="213"/>
      <c r="H183" s="213"/>
      <c r="I183" s="289"/>
      <c r="J183" s="213"/>
      <c r="K183" s="290"/>
      <c r="L183" s="213"/>
      <c r="M183" s="213"/>
      <c r="N183" s="206"/>
      <c r="O183" s="206"/>
      <c r="P183" s="289"/>
    </row>
    <row r="184" spans="1:16" ht="57.9" customHeight="1">
      <c r="A184" s="211"/>
      <c r="B184" s="280"/>
      <c r="C184" s="211"/>
      <c r="D184" s="281"/>
      <c r="E184" s="206"/>
      <c r="F184" s="213"/>
      <c r="G184" s="213"/>
      <c r="H184" s="213"/>
      <c r="I184" s="289"/>
      <c r="J184" s="213"/>
      <c r="K184" s="290"/>
      <c r="L184" s="213"/>
      <c r="M184" s="213"/>
      <c r="N184" s="206"/>
      <c r="O184" s="206"/>
      <c r="P184" s="289"/>
    </row>
    <row r="185" spans="1:16" ht="57.9" customHeight="1">
      <c r="A185" s="211"/>
      <c r="B185" s="280"/>
      <c r="C185" s="211"/>
      <c r="D185" s="281"/>
      <c r="E185" s="206"/>
      <c r="F185" s="213"/>
      <c r="G185" s="213"/>
      <c r="H185" s="213"/>
      <c r="I185" s="289"/>
      <c r="J185" s="213"/>
      <c r="K185" s="290"/>
      <c r="L185" s="213"/>
      <c r="M185" s="213"/>
      <c r="N185" s="206"/>
      <c r="O185" s="206"/>
      <c r="P185" s="289"/>
    </row>
    <row r="186" spans="1:16">
      <c r="A186" s="174"/>
      <c r="B186" s="174"/>
      <c r="C186" s="174"/>
      <c r="D186" s="195"/>
      <c r="E186" s="191"/>
      <c r="F186" s="174"/>
      <c r="G186" s="174"/>
      <c r="H186" s="174"/>
      <c r="I186" s="186"/>
      <c r="J186" s="174"/>
      <c r="K186" s="174"/>
      <c r="L186" s="174"/>
      <c r="M186" s="174"/>
      <c r="N186" s="191"/>
      <c r="O186" s="174"/>
      <c r="P186" s="174"/>
    </row>
    <row r="187" spans="1:16" ht="45.45">
      <c r="A187" s="459" t="s">
        <v>0</v>
      </c>
      <c r="B187" s="459"/>
      <c r="C187" s="180"/>
      <c r="D187" s="180"/>
      <c r="E187" s="174"/>
      <c r="F187" s="174"/>
      <c r="G187" s="174"/>
      <c r="H187" s="190"/>
      <c r="I187" s="189" t="s">
        <v>1</v>
      </c>
      <c r="J187" s="189" t="s">
        <v>2</v>
      </c>
      <c r="K187" s="269">
        <f>K159</f>
        <v>45901</v>
      </c>
      <c r="L187" s="270" t="s">
        <v>3</v>
      </c>
      <c r="M187" s="269">
        <f>M159</f>
        <v>45930</v>
      </c>
      <c r="N187" s="181"/>
      <c r="O187" s="174"/>
      <c r="P187" s="174"/>
    </row>
    <row r="188" spans="1:16" ht="27.9">
      <c r="A188" s="469" t="s">
        <v>4</v>
      </c>
      <c r="B188" s="469"/>
      <c r="C188" s="267" t="str">
        <f>C160</f>
        <v>Amanda Marcano Bahler</v>
      </c>
      <c r="D188" s="174"/>
      <c r="E188" s="174"/>
      <c r="F188" s="174"/>
      <c r="G188" s="174"/>
      <c r="H188" s="190"/>
      <c r="I188" s="190"/>
      <c r="J188" s="190"/>
      <c r="K188" s="190"/>
      <c r="L188" s="190"/>
      <c r="M188" s="190"/>
      <c r="N188" s="174"/>
      <c r="O188" s="174"/>
      <c r="P188" s="174"/>
    </row>
    <row r="189" spans="1:16" ht="27.9">
      <c r="A189" s="469" t="s">
        <v>5</v>
      </c>
      <c r="B189" s="469"/>
      <c r="C189" s="268"/>
      <c r="D189" s="174"/>
      <c r="E189" s="174"/>
      <c r="F189" s="174"/>
      <c r="G189" s="174"/>
      <c r="H189" s="190"/>
      <c r="I189" s="190"/>
      <c r="J189" s="190"/>
      <c r="K189" s="190"/>
      <c r="L189" s="190" t="s">
        <v>207</v>
      </c>
      <c r="M189" s="267">
        <v>192</v>
      </c>
      <c r="N189" s="174"/>
      <c r="O189" s="174"/>
      <c r="P189" s="174"/>
    </row>
    <row r="190" spans="1:16" ht="27.9">
      <c r="A190" s="174"/>
      <c r="B190" s="174"/>
      <c r="C190" s="174"/>
      <c r="D190" s="174"/>
      <c r="E190" s="174"/>
      <c r="F190" s="174"/>
      <c r="G190" s="174"/>
      <c r="H190" s="190"/>
      <c r="I190" s="190"/>
      <c r="J190" s="190"/>
      <c r="K190" s="190"/>
      <c r="L190" s="190"/>
      <c r="M190" s="190"/>
      <c r="N190" s="174"/>
      <c r="O190" s="174"/>
      <c r="P190" s="174"/>
    </row>
    <row r="191" spans="1:16">
      <c r="A191" s="464" t="s">
        <v>7</v>
      </c>
      <c r="B191" s="464"/>
      <c r="C191" s="186" t="s">
        <v>224</v>
      </c>
      <c r="D191" s="174"/>
      <c r="E191" s="174"/>
      <c r="F191" s="174"/>
      <c r="G191" s="174"/>
      <c r="H191" s="174"/>
      <c r="I191" s="174"/>
      <c r="J191" s="174"/>
      <c r="K191" s="174"/>
      <c r="L191" s="460" t="s">
        <v>9</v>
      </c>
      <c r="M191" s="460"/>
      <c r="N191" s="174"/>
      <c r="O191" s="174"/>
      <c r="P191" s="174"/>
    </row>
    <row r="192" spans="1:16" ht="57" customHeight="1">
      <c r="A192" s="316" t="s">
        <v>10</v>
      </c>
      <c r="B192" s="316" t="s">
        <v>11</v>
      </c>
      <c r="C192" s="316" t="s">
        <v>12</v>
      </c>
      <c r="D192" s="316" t="s">
        <v>201</v>
      </c>
      <c r="E192" s="316" t="s">
        <v>200</v>
      </c>
      <c r="F192" s="316" t="s">
        <v>13</v>
      </c>
      <c r="G192" s="316" t="s">
        <v>14</v>
      </c>
      <c r="H192" s="317" t="s">
        <v>15</v>
      </c>
      <c r="I192" s="316" t="s">
        <v>197</v>
      </c>
      <c r="J192" s="317" t="s">
        <v>9</v>
      </c>
      <c r="K192" s="317" t="s">
        <v>16</v>
      </c>
      <c r="L192" s="316" t="s">
        <v>196</v>
      </c>
      <c r="M192" s="316" t="s">
        <v>194</v>
      </c>
      <c r="N192" s="316" t="s">
        <v>240</v>
      </c>
      <c r="O192" s="316" t="s">
        <v>241</v>
      </c>
      <c r="P192" s="317" t="s">
        <v>191</v>
      </c>
    </row>
    <row r="193" spans="1:34" ht="62.15" customHeight="1">
      <c r="A193" s="300">
        <v>85</v>
      </c>
      <c r="B193" s="318" t="str">
        <f>VLOOKUP(Tabla5121314_345919[[#This Row],[No. Exp]],Tabla6[],2)</f>
        <v>Alexis Cabrera Menéndez</v>
      </c>
      <c r="C193" s="301">
        <f>VLOOKUP(Tabla5121314_345919[[#This Row],[No. Exp]],Tabla6[],3)</f>
        <v>74032322600</v>
      </c>
      <c r="D193" s="312">
        <f>M189</f>
        <v>192</v>
      </c>
      <c r="E193" s="312">
        <f>VLOOKUP(Tabla5121314_345919[[#This Row],[No. Exp]],Tabla6[],5)</f>
        <v>40.103999999999999</v>
      </c>
      <c r="F193" s="295">
        <f>ROUND(Tabla5121314_345919[[#This Row],[Horas trabajadas]]*Tabla5121314_345919[[#This Row],[Tarifas x Horas]],0)</f>
        <v>7700</v>
      </c>
      <c r="G193" s="295"/>
      <c r="H193" s="295">
        <f>Tabla5121314_345919[[#This Row],[A Cobrar]]+Tabla5121314_345919[[#This Row],[Bonif]]</f>
        <v>7700</v>
      </c>
      <c r="I193" s="302"/>
      <c r="J193" s="296"/>
      <c r="K193" s="294" cm="1">
        <f t="array" ref="K193">MMULT(Tabla5121314_345919[[#This Row],[Tarifas x Horas]],8)*Tabla5121314_345919[[#This Row],[Vacaciones]]</f>
        <v>0</v>
      </c>
      <c r="L193" s="295">
        <f>Tabla5121314_345919[[#This Row],[Sal. Dev]]-Tabla5121314_345919[[#This Row],[Ausencias]]+Tabla5121314_345919[[#This Row],[pago x vacaciones]]</f>
        <v>7700</v>
      </c>
      <c r="M193" s="295">
        <f>5%*Tabla5121314_345919[[#This Row],[Salario Neto]]</f>
        <v>385</v>
      </c>
      <c r="N193" s="294">
        <v>187.5</v>
      </c>
      <c r="O193" s="294"/>
      <c r="P193" s="298">
        <f>Tabla5121314_345919[[#This Row],[Sal. Dev]]-Tabla5121314_345919[[#This Row],[Ausencias]]+Tabla5121314_345919[[#This Row],[pago x vacaciones]]-Tabla5121314_345919[[#This Row],[importe Seg Social]]-Tabla5121314_345919[[#This Row],[Imp. Sobr. Ing. Per 3% (3260.00-9510.00)]]</f>
        <v>7127.5</v>
      </c>
    </row>
    <row r="194" spans="1:34" ht="57.9" customHeight="1">
      <c r="A194" s="300">
        <v>86</v>
      </c>
      <c r="B194" s="293" t="str">
        <f>VLOOKUP(Tabla5121314_345919[[#This Row],[No. Exp]],Tabla6[],2)</f>
        <v>Ariel Cabrera Menéndez</v>
      </c>
      <c r="C194" s="301">
        <f>VLOOKUP(Tabla5121314_345919[[#This Row],[No. Exp]],Tabla6[],3)</f>
        <v>72112711303</v>
      </c>
      <c r="D194" s="312">
        <v>192</v>
      </c>
      <c r="E194" s="294">
        <f>VLOOKUP(Tabla5121314_345919[[#This Row],[No. Exp]],Tabla6[],5)</f>
        <v>40.103999999999999</v>
      </c>
      <c r="F194" s="295">
        <f>ROUND(Tabla5121314_345919[[#This Row],[Horas trabajadas]]*Tabla5121314_345919[[#This Row],[Tarifas x Horas]],0)</f>
        <v>7700</v>
      </c>
      <c r="G194" s="295"/>
      <c r="H194" s="295">
        <f>Tabla5121314_345919[[#This Row],[A Cobrar]]+Tabla5121314_345919[[#This Row],[Bonif]]</f>
        <v>7700</v>
      </c>
      <c r="I194" s="297"/>
      <c r="J194" s="296"/>
      <c r="K194" s="294" cm="1">
        <f t="array" ref="K194">MMULT(Tabla5121314_345919[[#This Row],[Tarifas x Horas]],8)*Tabla5121314_345919[[#This Row],[Vacaciones]]</f>
        <v>0</v>
      </c>
      <c r="L194" s="295">
        <f>Tabla5121314_345919[[#This Row],[Sal. Dev]]-Tabla5121314_345919[[#This Row],[Ausencias]]+Tabla5121314_345919[[#This Row],[pago x vacaciones]]</f>
        <v>7700</v>
      </c>
      <c r="M194" s="295">
        <f>5%*Tabla5121314_345919[[#This Row],[Salario Neto]]</f>
        <v>385</v>
      </c>
      <c r="N194" s="294">
        <v>187.5</v>
      </c>
      <c r="O194" s="294"/>
      <c r="P194" s="298">
        <f>Tabla5121314_345919[[#This Row],[Sal. Dev]]-Tabla5121314_345919[[#This Row],[Ausencias]]+Tabla5121314_345919[[#This Row],[pago x vacaciones]]-Tabla5121314_345919[[#This Row],[importe Seg Social]]-Tabla5121314_345919[[#This Row],[Imp. Sobr. Ing. Per 3% (3260.00-9510.00)]]</f>
        <v>7127.5</v>
      </c>
    </row>
    <row r="195" spans="1:34" ht="55.3" customHeight="1">
      <c r="A195" s="300">
        <v>21</v>
      </c>
      <c r="B195" s="303" t="str">
        <f>VLOOKUP(Tabla5121314_345919[[#This Row],[No. Exp]],Tabla6[],2)</f>
        <v>Raymel Pérez Hernández</v>
      </c>
      <c r="C195" s="300" t="str">
        <f>VLOOKUP(Tabla5121314_345919[[#This Row],[No. Exp]],Tabla6[],3)</f>
        <v>99030806188</v>
      </c>
      <c r="D195" s="312">
        <v>192</v>
      </c>
      <c r="E195" s="294">
        <f>VLOOKUP(Tabla5121314_345919[[#This Row],[No. Exp]],Tabla6[],5)</f>
        <v>40.103999999999999</v>
      </c>
      <c r="F195" s="297">
        <f>ROUND(Tabla5121314_345919[[#This Row],[Horas trabajadas]]*Tabla5121314_345919[[#This Row],[Tarifas x Horas]],0)</f>
        <v>7700</v>
      </c>
      <c r="G195" s="297"/>
      <c r="H195" s="297">
        <f>Tabla5121314_345919[[#This Row],[A Cobrar]]+Tabla5121314_345919[[#This Row],[Bonif]]</f>
        <v>7700</v>
      </c>
      <c r="I195" s="313"/>
      <c r="J195" s="296"/>
      <c r="K195" s="294" cm="1">
        <f t="array" ref="K195">MMULT(Tabla5121314_345919[[#This Row],[Tarifas x Horas]],8)*Tabla5121314_345919[[#This Row],[Vacaciones]]</f>
        <v>0</v>
      </c>
      <c r="L195" s="295">
        <f>Tabla5121314_345919[[#This Row],[Sal. Dev]]-Tabla5121314_345919[[#This Row],[Ausencias]]+Tabla5121314_345919[[#This Row],[pago x vacaciones]]</f>
        <v>7700</v>
      </c>
      <c r="M195" s="295">
        <f>5%*Tabla5121314_345919[[#This Row],[Salario Neto]]</f>
        <v>385</v>
      </c>
      <c r="N195" s="294">
        <v>187.5</v>
      </c>
      <c r="O195" s="294"/>
      <c r="P195" s="298">
        <f>Tabla5121314_345919[[#This Row],[Sal. Dev]]-Tabla5121314_345919[[#This Row],[Ausencias]]+Tabla5121314_345919[[#This Row],[pago x vacaciones]]-Tabla5121314_345919[[#This Row],[importe Seg Social]]-Tabla5121314_345919[[#This Row],[Imp. Sobr. Ing. Per 3% (3260.00-9510.00)]]</f>
        <v>7127.5</v>
      </c>
    </row>
    <row r="196" spans="1:34" ht="62.15" customHeight="1">
      <c r="A196" s="300">
        <v>22</v>
      </c>
      <c r="B196" s="303" t="str">
        <f>VLOOKUP(Tabla5121314_345919[[#This Row],[No. Exp]],Tabla6[],2)</f>
        <v xml:space="preserve">Amaury Acosta Hernández </v>
      </c>
      <c r="C196" s="300">
        <f>VLOOKUP(Tabla5121314_345919[[#This Row],[No. Exp]],Tabla6[],3)</f>
        <v>73111309364</v>
      </c>
      <c r="D196" s="312">
        <v>192</v>
      </c>
      <c r="E196" s="294">
        <f>VLOOKUP(Tabla5121314_345919[[#This Row],[No. Exp]],Tabla6[],5)</f>
        <v>40.103999999999999</v>
      </c>
      <c r="F196" s="297">
        <f>ROUND(Tabla5121314_345919[[#This Row],[Horas trabajadas]]*Tabla5121314_345919[[#This Row],[Tarifas x Horas]],0)</f>
        <v>7700</v>
      </c>
      <c r="G196" s="297"/>
      <c r="H196" s="297">
        <f>Tabla5121314_345919[[#This Row],[A Cobrar]]+Tabla5121314_345919[[#This Row],[Bonif]]</f>
        <v>7700</v>
      </c>
      <c r="I196" s="313"/>
      <c r="J196" s="296"/>
      <c r="K196" s="294" cm="1">
        <f t="array" ref="K196">MMULT(Tabla5121314_345919[[#This Row],[Tarifas x Horas]],8)*Tabla5121314_345919[[#This Row],[Vacaciones]]</f>
        <v>0</v>
      </c>
      <c r="L196" s="295">
        <f>Tabla5121314_345919[[#This Row],[Sal. Dev]]-Tabla5121314_345919[[#This Row],[Ausencias]]+Tabla5121314_345919[[#This Row],[pago x vacaciones]]</f>
        <v>7700</v>
      </c>
      <c r="M196" s="295">
        <f>5%*Tabla5121314_345919[[#This Row],[Salario Neto]]</f>
        <v>385</v>
      </c>
      <c r="N196" s="294">
        <v>187.5</v>
      </c>
      <c r="O196" s="294"/>
      <c r="P196" s="298">
        <f>Tabla5121314_345919[[#This Row],[Sal. Dev]]-Tabla5121314_345919[[#This Row],[Ausencias]]+Tabla5121314_345919[[#This Row],[pago x vacaciones]]-Tabla5121314_345919[[#This Row],[importe Seg Social]]-Tabla5121314_345919[[#This Row],[Imp. Sobr. Ing. Per 3% (3260.00-9510.00)]]</f>
        <v>7127.5</v>
      </c>
    </row>
    <row r="197" spans="1:34" ht="59.15" customHeight="1">
      <c r="A197" s="300">
        <v>23</v>
      </c>
      <c r="B197" s="303" t="str">
        <f>VLOOKUP(Tabla5121314_345919[[#This Row],[No. Exp]],Tabla6[],2)</f>
        <v>Bernardo Alfredo Zamora Sánchez</v>
      </c>
      <c r="C197" s="300">
        <f>VLOOKUP(Tabla5121314_345919[[#This Row],[No. Exp]],Tabla6[],3)</f>
        <v>63082002294</v>
      </c>
      <c r="D197" s="312">
        <v>192</v>
      </c>
      <c r="E197" s="294">
        <f>VLOOKUP(Tabla5121314_345919[[#This Row],[No. Exp]],Tabla6[],5)</f>
        <v>40.103999999999999</v>
      </c>
      <c r="F197" s="297">
        <f>ROUND(Tabla5121314_345919[[#This Row],[Horas trabajadas]]*Tabla5121314_345919[[#This Row],[Tarifas x Horas]],0)</f>
        <v>7700</v>
      </c>
      <c r="G197" s="297"/>
      <c r="H197" s="297">
        <f>Tabla5121314_345919[[#This Row],[A Cobrar]]+Tabla5121314_345919[[#This Row],[Bonif]]</f>
        <v>7700</v>
      </c>
      <c r="I197" s="313"/>
      <c r="J197" s="296">
        <v>5</v>
      </c>
      <c r="K197" s="294" cm="1">
        <f t="array" ref="K197">MMULT(Tabla5121314_345919[[#This Row],[Tarifas x Horas]],8)*Tabla5121314_345919[[#This Row],[Vacaciones]]</f>
        <v>1604.1599999999999</v>
      </c>
      <c r="L197" s="295">
        <f>Tabla5121314_345919[[#This Row],[Sal. Dev]]-Tabla5121314_345919[[#This Row],[Ausencias]]+Tabla5121314_345919[[#This Row],[pago x vacaciones]]</f>
        <v>9304.16</v>
      </c>
      <c r="M197" s="295">
        <f>5%*Tabla5121314_345919[[#This Row],[Salario Neto]]</f>
        <v>465.20800000000003</v>
      </c>
      <c r="N197" s="294">
        <v>187.5</v>
      </c>
      <c r="O197" s="294"/>
      <c r="P197" s="298">
        <f>Tabla5121314_345919[[#This Row],[Sal. Dev]]-Tabla5121314_345919[[#This Row],[Ausencias]]+Tabla5121314_345919[[#This Row],[pago x vacaciones]]-Tabla5121314_345919[[#This Row],[importe Seg Social]]-Tabla5121314_345919[[#This Row],[Imp. Sobr. Ing. Per 3% (3260.00-9510.00)]]</f>
        <v>8651.4519999999993</v>
      </c>
    </row>
    <row r="198" spans="1:34" ht="68.599999999999994" customHeight="1">
      <c r="A198" s="300">
        <v>24</v>
      </c>
      <c r="B198" s="303" t="str">
        <f>VLOOKUP(Tabla5121314_345919[[#This Row],[No. Exp]],Tabla6[],2)</f>
        <v xml:space="preserve">José Zorrilla Aguilar </v>
      </c>
      <c r="C198" s="300">
        <f>VLOOKUP(Tabla5121314_345919[[#This Row],[No. Exp]],Tabla6[],3)</f>
        <v>57082706245</v>
      </c>
      <c r="D198" s="312">
        <v>192</v>
      </c>
      <c r="E198" s="294">
        <f>VLOOKUP(Tabla5121314_345919[[#This Row],[No. Exp]],Tabla6[],5)</f>
        <v>40.103999999999999</v>
      </c>
      <c r="F198" s="297">
        <f>ROUND(Tabla5121314_345919[[#This Row],[Horas trabajadas]]*Tabla5121314_345919[[#This Row],[Tarifas x Horas]],0)</f>
        <v>7700</v>
      </c>
      <c r="G198" s="297"/>
      <c r="H198" s="297">
        <f>Tabla5121314_345919[[#This Row],[A Cobrar]]+Tabla5121314_345919[[#This Row],[Bonif]]</f>
        <v>7700</v>
      </c>
      <c r="I198" s="313"/>
      <c r="J198" s="296"/>
      <c r="K198" s="294" cm="1">
        <f t="array" ref="K198">MMULT(Tabla5121314_345919[[#This Row],[Tarifas x Horas]],8)*Tabla5121314_345919[[#This Row],[Vacaciones]]</f>
        <v>0</v>
      </c>
      <c r="L198" s="295">
        <f>Tabla5121314_345919[[#This Row],[Sal. Dev]]-Tabla5121314_345919[[#This Row],[Ausencias]]+Tabla5121314_345919[[#This Row],[pago x vacaciones]]</f>
        <v>7700</v>
      </c>
      <c r="M198" s="295">
        <f>5%*Tabla5121314_345919[[#This Row],[Salario Neto]]</f>
        <v>385</v>
      </c>
      <c r="N198" s="294">
        <v>187.5</v>
      </c>
      <c r="O198" s="294"/>
      <c r="P198" s="298">
        <f>Tabla5121314_345919[[#This Row],[Sal. Dev]]-Tabla5121314_345919[[#This Row],[Ausencias]]+Tabla5121314_345919[[#This Row],[pago x vacaciones]]-Tabla5121314_345919[[#This Row],[importe Seg Social]]-Tabla5121314_345919[[#This Row],[Imp. Sobr. Ing. Per 3% (3260.00-9510.00)]]</f>
        <v>7127.5</v>
      </c>
    </row>
    <row r="199" spans="1:34" s="154" customFormat="1" ht="74.150000000000006" customHeight="1">
      <c r="A199" s="319">
        <v>118</v>
      </c>
      <c r="B199" s="320" t="str">
        <f>VLOOKUP(Tabla5121314_345919[[#This Row],[No. Exp]],Tabla6[],2)</f>
        <v>Ivan Agustin Hernandez Gonzalez</v>
      </c>
      <c r="C199" s="319">
        <f>VLOOKUP(Tabla5121314_345919[[#This Row],[No. Exp]],Tabla6[],3)</f>
        <v>70050301761</v>
      </c>
      <c r="D199" s="321">
        <v>280</v>
      </c>
      <c r="E199" s="322">
        <f>VLOOKUP(Tabla5121314_345919[[#This Row],[No. Exp]],Tabla6[],5)</f>
        <v>40.103999999999999</v>
      </c>
      <c r="F199" s="323">
        <f>ROUND(Tabla5121314_345919[[#This Row],[Horas trabajadas]]*Tabla5121314_345919[[#This Row],[Tarifas x Horas]],0)</f>
        <v>11229</v>
      </c>
      <c r="G199" s="323"/>
      <c r="H199" s="350">
        <f>Tabla5121314_345919[[#This Row],[A Cobrar]]+Tabla5121314_345919[[#This Row],[Bonif]]</f>
        <v>11229</v>
      </c>
      <c r="I199" s="324"/>
      <c r="J199" s="325"/>
      <c r="K199" s="322" cm="1">
        <f t="array" ref="K199">MMULT(Tabla5121314_345919[[#This Row],[Tarifas x Horas]],8)*Tabla5121314_345919[[#This Row],[Vacaciones]]</f>
        <v>0</v>
      </c>
      <c r="L199" s="326">
        <f>Tabla5121314_345919[[#This Row],[Sal. Dev]]-Tabla5121314_345919[[#This Row],[Ausencias]]+Tabla5121314_345919[[#This Row],[pago x vacaciones]]</f>
        <v>11229</v>
      </c>
      <c r="M199" s="326">
        <f>5%*Tabla5121314_345919[[#This Row],[Salario Neto]]</f>
        <v>561.45000000000005</v>
      </c>
      <c r="N199" s="322">
        <v>187.5</v>
      </c>
      <c r="O199" s="322">
        <f>(Tabla5121314_345919[[#This Row],[Salario Neto]]-9510)*5%</f>
        <v>85.95</v>
      </c>
      <c r="P199" s="327">
        <f>Tabla5121314_345919[[#This Row],[Sal. Dev]]-Tabla5121314_345919[[#This Row],[Ausencias]]+Tabla5121314_345919[[#This Row],[pago x vacaciones]]-Tabla5121314_345919[[#This Row],[importe Seg Social]]-Tabla5121314_345919[[#This Row],[Imp. Sobr. Ing. Per 3% (3260.00-9510.00)]]-Tabla5121314_345919[[#This Row],[Imp. Sobr. Ing. Per 5% (9510.00-15000.00)]]</f>
        <v>10394.099999999999</v>
      </c>
      <c r="Q199" s="140"/>
    </row>
    <row r="200" spans="1:34" ht="37.299999999999997">
      <c r="A200" s="300"/>
      <c r="B200" s="303"/>
      <c r="C200" s="300"/>
      <c r="D200" s="328"/>
      <c r="E200" s="329"/>
      <c r="F200" s="300"/>
      <c r="G200" s="300"/>
      <c r="H200" s="300"/>
      <c r="I200" s="330"/>
      <c r="J200" s="331"/>
      <c r="K200" s="329"/>
      <c r="L200" s="292"/>
      <c r="M200" s="292"/>
      <c r="N200" s="329"/>
      <c r="O200" s="332"/>
      <c r="P200" s="300"/>
    </row>
    <row r="201" spans="1:34">
      <c r="A201" s="174"/>
      <c r="B201" s="193"/>
      <c r="C201" s="174"/>
      <c r="D201" s="174"/>
      <c r="E201" s="191"/>
      <c r="F201" s="195"/>
      <c r="G201" s="174"/>
      <c r="H201" s="174"/>
      <c r="I201" s="186"/>
      <c r="J201" s="174"/>
      <c r="K201" s="174"/>
      <c r="L201" s="174"/>
      <c r="M201" s="174"/>
      <c r="N201" s="174"/>
      <c r="O201" s="174"/>
      <c r="P201" s="174"/>
    </row>
    <row r="202" spans="1:34" ht="45.45">
      <c r="A202" s="459" t="s">
        <v>0</v>
      </c>
      <c r="B202" s="459"/>
      <c r="C202" s="180"/>
      <c r="D202" s="180"/>
      <c r="E202" s="174"/>
      <c r="F202" s="174"/>
      <c r="G202" s="174"/>
      <c r="H202" s="174"/>
      <c r="I202" s="189" t="s">
        <v>1</v>
      </c>
      <c r="J202" s="189" t="s">
        <v>2</v>
      </c>
      <c r="K202" s="269">
        <f>K187</f>
        <v>45901</v>
      </c>
      <c r="L202" s="270" t="s">
        <v>3</v>
      </c>
      <c r="M202" s="269">
        <f>M187</f>
        <v>45930</v>
      </c>
      <c r="N202" s="181"/>
      <c r="O202" s="174"/>
      <c r="P202" s="174"/>
    </row>
    <row r="203" spans="1:34" ht="27.9">
      <c r="A203" s="469" t="s">
        <v>4</v>
      </c>
      <c r="B203" s="469"/>
      <c r="C203" s="267" t="str">
        <f>C188</f>
        <v>Amanda Marcano Bahler</v>
      </c>
      <c r="D203" s="190"/>
      <c r="E203" s="174"/>
      <c r="F203" s="174"/>
      <c r="G203" s="174"/>
      <c r="H203" s="174"/>
      <c r="I203" s="190"/>
      <c r="J203" s="190"/>
      <c r="K203" s="190"/>
      <c r="L203" s="190"/>
      <c r="M203" s="190"/>
      <c r="N203" s="174"/>
      <c r="O203" s="174"/>
      <c r="P203" s="174"/>
    </row>
    <row r="204" spans="1:34" ht="27.9">
      <c r="A204" s="469" t="s">
        <v>5</v>
      </c>
      <c r="B204" s="469"/>
      <c r="C204" s="268"/>
      <c r="D204" s="190"/>
      <c r="E204" s="174"/>
      <c r="F204" s="174"/>
      <c r="G204" s="174"/>
      <c r="H204" s="174"/>
      <c r="I204" s="190"/>
      <c r="J204" s="190"/>
      <c r="K204" s="190"/>
      <c r="L204" s="190" t="str">
        <f>L161</f>
        <v>horas</v>
      </c>
      <c r="M204" s="267">
        <f>M161</f>
        <v>192</v>
      </c>
      <c r="N204" s="174"/>
      <c r="O204" s="174"/>
      <c r="P204" s="174"/>
    </row>
    <row r="205" spans="1:34" ht="27.9">
      <c r="A205" s="190"/>
      <c r="B205" s="190"/>
      <c r="C205" s="190"/>
      <c r="D205" s="190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</row>
    <row r="206" spans="1:34" s="152" customFormat="1">
      <c r="A206" s="287" t="s">
        <v>7</v>
      </c>
      <c r="B206" s="287"/>
      <c r="C206" s="186" t="s">
        <v>23</v>
      </c>
      <c r="D206" s="174"/>
      <c r="E206" s="174"/>
      <c r="F206" s="174"/>
      <c r="G206" s="174"/>
      <c r="H206" s="174"/>
      <c r="I206" s="174"/>
      <c r="J206" s="174"/>
      <c r="K206" s="174"/>
      <c r="L206" s="457" t="s">
        <v>9</v>
      </c>
      <c r="M206" s="457"/>
      <c r="N206" s="174"/>
      <c r="O206" s="174"/>
      <c r="P206" s="288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  <c r="AD206" s="160"/>
      <c r="AE206" s="160"/>
      <c r="AF206" s="140"/>
      <c r="AG206" s="140"/>
      <c r="AH206" s="161"/>
    </row>
    <row r="207" spans="1:34" s="162" customFormat="1" ht="102.45" customHeight="1">
      <c r="A207" s="316" t="s">
        <v>10</v>
      </c>
      <c r="B207" s="316" t="s">
        <v>11</v>
      </c>
      <c r="C207" s="316" t="s">
        <v>12</v>
      </c>
      <c r="D207" s="316" t="s">
        <v>201</v>
      </c>
      <c r="E207" s="316" t="s">
        <v>200</v>
      </c>
      <c r="F207" s="316" t="s">
        <v>13</v>
      </c>
      <c r="G207" s="316" t="s">
        <v>14</v>
      </c>
      <c r="H207" s="317" t="s">
        <v>15</v>
      </c>
      <c r="I207" s="316" t="s">
        <v>197</v>
      </c>
      <c r="J207" s="317" t="s">
        <v>9</v>
      </c>
      <c r="K207" s="317" t="s">
        <v>16</v>
      </c>
      <c r="L207" s="316" t="s">
        <v>196</v>
      </c>
      <c r="M207" s="316" t="s">
        <v>194</v>
      </c>
      <c r="N207" s="316" t="s">
        <v>240</v>
      </c>
      <c r="O207" s="333" t="s">
        <v>241</v>
      </c>
      <c r="P207" s="334" t="s">
        <v>191</v>
      </c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  <c r="AA207" s="160"/>
      <c r="AB207" s="160"/>
      <c r="AC207" s="160"/>
      <c r="AD207" s="160"/>
      <c r="AE207" s="160"/>
      <c r="AF207" s="160"/>
      <c r="AG207" s="140"/>
      <c r="AH207" s="140"/>
    </row>
    <row r="208" spans="1:34" s="154" customFormat="1" ht="56.6" customHeight="1">
      <c r="A208" s="335">
        <v>113</v>
      </c>
      <c r="B208" s="336" t="str">
        <f>VLOOKUP(Tabla5121314_34518[[#This Row],[No. Exp]],Tabla6[],2)</f>
        <v>Nurbi Selma Osoria</v>
      </c>
      <c r="C208" s="336">
        <f>VLOOKUP(Tabla5121314_34518[[#This Row],[No. Exp]],Tabla6[],3)</f>
        <v>69060615979</v>
      </c>
      <c r="D208" s="337">
        <f>M204</f>
        <v>192</v>
      </c>
      <c r="E208" s="337">
        <f>VLOOKUP(Tabla5121314_34518[[#This Row],[No. Exp]],Tabla6[],5)</f>
        <v>39.06</v>
      </c>
      <c r="F208" s="338">
        <f>ROUND(Tabla5121314_34518[[#This Row],[Horas trabajadas]]*Tabla5121314_34518[[#This Row],[Tarifas x Horas]],0)</f>
        <v>7500</v>
      </c>
      <c r="G208" s="338"/>
      <c r="H208" s="338">
        <f>Tabla5121314_34518[[#This Row],[A Cobrar]]+Tabla5121314_34518[[#This Row],[Bonif]]</f>
        <v>7500</v>
      </c>
      <c r="I208" s="339"/>
      <c r="J208" s="340"/>
      <c r="K208" s="341" cm="1">
        <f t="array" ref="K208">MMULT(Tabla5121314_34518[[#This Row],[Tarifas x Horas]],8)*Tabla5121314_34518[[#This Row],[Vacaciones]]</f>
        <v>0</v>
      </c>
      <c r="L208" s="338">
        <f>Tabla5121314_34518[[#This Row],[Sal. Dev]]-Tabla5121314_34518[[#This Row],[Ausencias]]</f>
        <v>7500</v>
      </c>
      <c r="M208" s="338">
        <f>5%*Tabla5121314_34518[[#This Row],[Salario Neto]]</f>
        <v>375</v>
      </c>
      <c r="N208" s="342"/>
      <c r="O208" s="342"/>
      <c r="P208" s="343">
        <f>Tabla5121314_34518[[#This Row],[Sal. Dev]]-Tabla5121314_34518[[#This Row],[Ausencias]]+Tabla5121314_34518[[#This Row],[pago x vacaciones]]-Tabla5121314_34518[[#This Row],[importe Seg Social]]-Tabla5121314_34518[[#This Row],[Imp. Sobr. Ing. Per 3% (3260.00-9510.00)]]</f>
        <v>7125</v>
      </c>
    </row>
    <row r="209" spans="1:16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</row>
    <row r="210" spans="1:16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</row>
    <row r="211" spans="1:16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</row>
    <row r="212" spans="1:16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</row>
    <row r="213" spans="1:16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</row>
    <row r="214" spans="1:16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</row>
    <row r="215" spans="1:16">
      <c r="A215" s="174"/>
      <c r="B215" s="266" t="s">
        <v>210</v>
      </c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</row>
    <row r="216" spans="1:16">
      <c r="A216" s="174"/>
      <c r="B216" s="460"/>
      <c r="C216" s="460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</row>
    <row r="217" spans="1:16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</row>
    <row r="218" spans="1:16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</row>
    <row r="219" spans="1:16" ht="35.15">
      <c r="A219" s="287" t="s">
        <v>7</v>
      </c>
      <c r="B219" s="287"/>
      <c r="C219" s="291" t="s">
        <v>9</v>
      </c>
      <c r="D219" s="174"/>
      <c r="E219" s="174"/>
      <c r="F219" s="174"/>
      <c r="G219" s="174"/>
      <c r="H219" s="174"/>
      <c r="I219" s="174"/>
      <c r="J219" s="174"/>
      <c r="K219" s="174"/>
      <c r="L219" s="457" t="s">
        <v>9</v>
      </c>
      <c r="M219" s="457"/>
      <c r="N219" s="174"/>
      <c r="O219" s="174"/>
      <c r="P219" s="174"/>
    </row>
    <row r="220" spans="1:16" ht="106.3" customHeight="1">
      <c r="A220" s="316" t="s">
        <v>10</v>
      </c>
      <c r="B220" s="316" t="s">
        <v>11</v>
      </c>
      <c r="C220" s="316" t="s">
        <v>12</v>
      </c>
      <c r="D220" s="316" t="s">
        <v>201</v>
      </c>
      <c r="E220" s="316" t="s">
        <v>200</v>
      </c>
      <c r="F220" s="316" t="s">
        <v>13</v>
      </c>
      <c r="G220" s="316" t="s">
        <v>14</v>
      </c>
      <c r="H220" s="317" t="s">
        <v>15</v>
      </c>
      <c r="I220" s="316" t="s">
        <v>197</v>
      </c>
      <c r="J220" s="317" t="s">
        <v>9</v>
      </c>
      <c r="K220" s="317" t="s">
        <v>16</v>
      </c>
      <c r="L220" s="316" t="s">
        <v>196</v>
      </c>
      <c r="M220" s="316" t="s">
        <v>194</v>
      </c>
      <c r="N220" s="316" t="s">
        <v>240</v>
      </c>
      <c r="O220" s="333" t="s">
        <v>241</v>
      </c>
      <c r="P220" s="334" t="s">
        <v>191</v>
      </c>
    </row>
    <row r="221" spans="1:16" ht="53.6" customHeight="1">
      <c r="A221" s="297">
        <v>106</v>
      </c>
      <c r="B221" s="301" t="str">
        <f>VLOOKUP(Tabla5121314_3451820[[#This Row],[No. Exp]],Tabla6[],2)</f>
        <v>Sujay Karina Prado Montero</v>
      </c>
      <c r="C221" s="301" t="str">
        <f>VLOOKUP(Tabla5121314_3451820[[#This Row],[No. Exp]],Tabla6[],3)</f>
        <v>01112276730</v>
      </c>
      <c r="D221" s="328">
        <f>M217</f>
        <v>0</v>
      </c>
      <c r="E221" s="328">
        <f>VLOOKUP(Tabla5121314_3451820[[#This Row],[No. Exp]],Tabla6[],5)</f>
        <v>41.665999999999997</v>
      </c>
      <c r="F221" s="292">
        <f>ROUND(Tabla5121314_3451820[[#This Row],[Horas trabajadas]]*Tabla5121314_3451820[[#This Row],[Tarifas x Horas]],0)</f>
        <v>0</v>
      </c>
      <c r="G221" s="292"/>
      <c r="H221" s="292">
        <f>Tabla5121314_3451820[[#This Row],[A Cobrar]]+Tabla5121314_3451820[[#This Row],[Bonif]]</f>
        <v>0</v>
      </c>
      <c r="I221" s="345"/>
      <c r="J221" s="331">
        <v>2</v>
      </c>
      <c r="K221" s="329" cm="1">
        <f t="array" ref="K221">MMULT(Tabla5121314_3451820[[#This Row],[Tarifas x Horas]],8)*Tabla5121314_3451820[[#This Row],[Vacaciones]]</f>
        <v>666.65599999999995</v>
      </c>
      <c r="L221" s="292">
        <f>Tabla5121314_3451820[[#This Row],[Sal. Dev]]-Tabla5121314_3451820[[#This Row],[Ausencias]]</f>
        <v>0</v>
      </c>
      <c r="M221" s="292">
        <f>5%*Tabla5121314_3451820[[#This Row],[Salario Neto]]</f>
        <v>0</v>
      </c>
      <c r="N221" s="329"/>
      <c r="O221" s="329"/>
      <c r="P221" s="332">
        <f>Tabla5121314_3451820[[#This Row],[Sal. Dev]]-Tabla5121314_3451820[[#This Row],[Ausencias]]+Tabla5121314_3451820[[#This Row],[pago x vacaciones]]-Tabla5121314_3451820[[#This Row],[importe Seg Social]]-Tabla5121314_3451820[[#This Row],[Imp. Sobr. Ing. Per 3% (3260.00-9510.00)]]</f>
        <v>666.65599999999995</v>
      </c>
    </row>
    <row r="222" spans="1:16" ht="61.3" customHeight="1">
      <c r="A222" s="297">
        <v>103</v>
      </c>
      <c r="B222" s="300" t="str">
        <f>VLOOKUP(Tabla5121314_3451820[[#This Row],[No. Exp]],Tabla6[],2)</f>
        <v>Luis Ramón Díaz Alvarez</v>
      </c>
      <c r="C222" s="300" t="str">
        <f>VLOOKUP(Tabla5121314_3451820[[#This Row],[No. Exp]],Tabla6[],3)</f>
        <v>01032963607</v>
      </c>
      <c r="D222" s="300">
        <f>M218</f>
        <v>0</v>
      </c>
      <c r="E222" s="346">
        <f>VLOOKUP(Tabla5121314_3451820[[#This Row],[No. Exp]],Tabla6[],5)</f>
        <v>41.665999999999997</v>
      </c>
      <c r="F222" s="300">
        <f>ROUND(Tabla5121314_3451820[[#This Row],[Horas trabajadas]]*Tabla5121314_3451820[[#This Row],[Tarifas x Horas]],0)</f>
        <v>0</v>
      </c>
      <c r="G222" s="300"/>
      <c r="H222" s="300">
        <f>Tabla5121314_3451820[[#This Row],[A Cobrar]]+Tabla5121314_3451820[[#This Row],[Bonif]]</f>
        <v>0</v>
      </c>
      <c r="I222" s="300"/>
      <c r="J222" s="331">
        <v>3.72</v>
      </c>
      <c r="K222" s="329" cm="1">
        <f t="array" ref="K222">MMULT(Tabla5121314_3451820[[#This Row],[Tarifas x Horas]],8)*Tabla5121314_3451820[[#This Row],[Vacaciones]]</f>
        <v>1239.9801600000001</v>
      </c>
      <c r="L222" s="292">
        <f>Tabla5121314_3451820[[#This Row],[Sal. Dev]]-Tabla5121314_3451820[[#This Row],[Ausencias]]</f>
        <v>0</v>
      </c>
      <c r="M222" s="292">
        <f>5%*Tabla5121314_3451820[[#This Row],[Salario Neto]]</f>
        <v>0</v>
      </c>
      <c r="N222" s="329"/>
      <c r="O222" s="329"/>
      <c r="P222" s="332">
        <f>Tabla5121314_3451820[[#This Row],[Sal. Dev]]-Tabla5121314_3451820[[#This Row],[Ausencias]]+Tabla5121314_3451820[[#This Row],[pago x vacaciones]]-Tabla5121314_3451820[[#This Row],[importe Seg Social]]-Tabla5121314_3451820[[#This Row],[Imp. Sobr. Ing. Per 3% (3260.00-9510.00)]]</f>
        <v>1239.9801600000001</v>
      </c>
    </row>
    <row r="223" spans="1:16" ht="61.3" customHeight="1">
      <c r="A223" s="297">
        <v>102</v>
      </c>
      <c r="B223" s="300" t="str">
        <f>VLOOKUP(Tabla5121314_3451820[[#This Row],[No. Exp]],Tabla6[],2)</f>
        <v>Adrian Daniel Fernández Landivar</v>
      </c>
      <c r="C223" s="300">
        <f>VLOOKUP(Tabla5121314_3451820[[#This Row],[No. Exp]],Tabla6[],3)</f>
        <v>99020618509</v>
      </c>
      <c r="D223" s="300">
        <f>M219</f>
        <v>0</v>
      </c>
      <c r="E223" s="346">
        <f>VLOOKUP(Tabla5121314_3451820[[#This Row],[No. Exp]],Tabla6[],5)</f>
        <v>41.665999999999997</v>
      </c>
      <c r="F223" s="300">
        <f>ROUND(Tabla5121314_3451820[[#This Row],[Horas trabajadas]]*Tabla5121314_3451820[[#This Row],[Tarifas x Horas]],0)</f>
        <v>0</v>
      </c>
      <c r="G223" s="300"/>
      <c r="H223" s="300">
        <f>Tabla5121314_3451820[[#This Row],[A Cobrar]]+Tabla5121314_3451820[[#This Row],[Bonif]]</f>
        <v>0</v>
      </c>
      <c r="I223" s="300"/>
      <c r="J223" s="331">
        <v>4.3600000000000003</v>
      </c>
      <c r="K223" s="329" cm="1">
        <f t="array" ref="K223">MMULT(Tabla5121314_3451820[[#This Row],[Tarifas x Horas]],8)*Tabla5121314_3451820[[#This Row],[Vacaciones]]</f>
        <v>1453.31008</v>
      </c>
      <c r="L223" s="292">
        <f>Tabla5121314_3451820[[#This Row],[Sal. Dev]]-Tabla5121314_3451820[[#This Row],[Ausencias]]</f>
        <v>0</v>
      </c>
      <c r="M223" s="292">
        <f>5%*Tabla5121314_3451820[[#This Row],[Salario Neto]]</f>
        <v>0</v>
      </c>
      <c r="N223" s="329"/>
      <c r="O223" s="329"/>
      <c r="P223" s="332">
        <f>Tabla5121314_3451820[[#This Row],[Sal. Dev]]-Tabla5121314_3451820[[#This Row],[Ausencias]]+Tabla5121314_3451820[[#This Row],[pago x vacaciones]]-Tabla5121314_3451820[[#This Row],[importe Seg Social]]-Tabla5121314_3451820[[#This Row],[Imp. Sobr. Ing. Per 3% (3260.00-9510.00)]]</f>
        <v>1453.31008</v>
      </c>
    </row>
    <row r="224" spans="1:16" ht="64.3" customHeight="1">
      <c r="A224" s="297">
        <v>7</v>
      </c>
      <c r="B224" s="300" t="str">
        <f>VLOOKUP(Tabla5121314_3451820[[#This Row],[No. Exp]],Tabla6[],2)</f>
        <v>Heidy Allen Valdéz</v>
      </c>
      <c r="C224" s="300" t="str">
        <f>VLOOKUP(Tabla5121314_3451820[[#This Row],[No. Exp]],Tabla6[],3)</f>
        <v>91090328651</v>
      </c>
      <c r="D224" s="300"/>
      <c r="E224" s="346">
        <f>VLOOKUP(Tabla5121314_3451820[[#This Row],[No. Exp]],Tabla6[],5)</f>
        <v>46.875</v>
      </c>
      <c r="F224" s="300">
        <f>ROUND(Tabla5121314_3451820[[#This Row],[Horas trabajadas]]*Tabla5121314_3451820[[#This Row],[Tarifas x Horas]],0)</f>
        <v>0</v>
      </c>
      <c r="G224" s="300"/>
      <c r="H224" s="300">
        <f>Tabla5121314_3451820[[#This Row],[A Cobrar]]+Tabla5121314_3451820[[#This Row],[Bonif]]</f>
        <v>0</v>
      </c>
      <c r="I224" s="300"/>
      <c r="J224" s="331">
        <v>8.7200000000000006</v>
      </c>
      <c r="K224" s="329" cm="1">
        <f t="array" ref="K224">MMULT(Tabla5121314_3451820[[#This Row],[Tarifas x Horas]],8)*Tabla5121314_3451820[[#This Row],[Vacaciones]]</f>
        <v>3270.0000000000005</v>
      </c>
      <c r="L224" s="292">
        <f>Tabla5121314_3451820[[#This Row],[Sal. Dev]]-Tabla5121314_3451820[[#This Row],[Ausencias]]</f>
        <v>0</v>
      </c>
      <c r="M224" s="292">
        <f>5%*Tabla5121314_3451820[[#This Row],[Salario Neto]]</f>
        <v>0</v>
      </c>
      <c r="N224" s="329"/>
      <c r="O224" s="329"/>
      <c r="P224" s="332">
        <f>Tabla5121314_3451820[[#This Row],[Sal. Dev]]-Tabla5121314_3451820[[#This Row],[Ausencias]]+Tabla5121314_3451820[[#This Row],[pago x vacaciones]]-Tabla5121314_3451820[[#This Row],[importe Seg Social]]-Tabla5121314_3451820[[#This Row],[Imp. Sobr. Ing. Per 3% (3260.00-9510.00)]]</f>
        <v>3270.0000000000005</v>
      </c>
    </row>
    <row r="225" spans="1:16" ht="64.3" customHeight="1">
      <c r="A225" s="297">
        <v>105</v>
      </c>
      <c r="B225" s="300" t="str">
        <f>VLOOKUP(Tabla5121314_3451820[[#This Row],[No. Exp]],Tabla6[],2)</f>
        <v xml:space="preserve">Maited Benitez Lugo </v>
      </c>
      <c r="C225" s="300">
        <f>VLOOKUP(Tabla5121314_3451820[[#This Row],[No. Exp]],Tabla6[],3)</f>
        <v>70052404751</v>
      </c>
      <c r="D225" s="300">
        <f>M221</f>
        <v>0</v>
      </c>
      <c r="E225" s="346">
        <f>VLOOKUP(Tabla5121314_3451820[[#This Row],[No. Exp]],Tabla6[],5)</f>
        <v>46.875</v>
      </c>
      <c r="F225" s="300">
        <f>ROUND(Tabla5121314_3451820[[#This Row],[Horas trabajadas]]*Tabla5121314_3451820[[#This Row],[Tarifas x Horas]],0)</f>
        <v>0</v>
      </c>
      <c r="G225" s="300"/>
      <c r="H225" s="300">
        <f>Tabla5121314_3451820[[#This Row],[A Cobrar]]+Tabla5121314_3451820[[#This Row],[Bonif]]</f>
        <v>0</v>
      </c>
      <c r="I225" s="300"/>
      <c r="J225" s="331">
        <v>2.1800000000000002</v>
      </c>
      <c r="K225" s="329" cm="1">
        <f t="array" ref="K225">MMULT(Tabla5121314_3451820[[#This Row],[Tarifas x Horas]],8)*Tabla5121314_3451820[[#This Row],[Vacaciones]]</f>
        <v>817.50000000000011</v>
      </c>
      <c r="L225" s="292">
        <f>Tabla5121314_3451820[[#This Row],[Sal. Dev]]-Tabla5121314_3451820[[#This Row],[Ausencias]]</f>
        <v>0</v>
      </c>
      <c r="M225" s="292">
        <f>5%*Tabla5121314_3451820[[#This Row],[Salario Neto]]</f>
        <v>0</v>
      </c>
      <c r="N225" s="329"/>
      <c r="O225" s="329"/>
      <c r="P225" s="332">
        <f>Tabla5121314_3451820[[#This Row],[Sal. Dev]]-Tabla5121314_3451820[[#This Row],[Ausencias]]+Tabla5121314_3451820[[#This Row],[pago x vacaciones]]-Tabla5121314_3451820[[#This Row],[importe Seg Social]]-Tabla5121314_3451820[[#This Row],[Imp. Sobr. Ing. Per 3% (3260.00-9510.00)]]</f>
        <v>817.50000000000011</v>
      </c>
    </row>
    <row r="226" spans="1:16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</row>
    <row r="227" spans="1:16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</row>
    <row r="228" spans="1:16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</row>
    <row r="229" spans="1:16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</row>
    <row r="230" spans="1:16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</row>
    <row r="231" spans="1:16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</row>
    <row r="232" spans="1:16" ht="32.6">
      <c r="A232" s="174"/>
      <c r="B232" s="344" t="s">
        <v>210</v>
      </c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</row>
    <row r="233" spans="1:16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</row>
  </sheetData>
  <mergeCells count="43">
    <mergeCell ref="B216:C216"/>
    <mergeCell ref="A191:B191"/>
    <mergeCell ref="L191:M191"/>
    <mergeCell ref="A202:B202"/>
    <mergeCell ref="A203:B203"/>
    <mergeCell ref="A204:B204"/>
    <mergeCell ref="L206:M206"/>
    <mergeCell ref="A106:B106"/>
    <mergeCell ref="A108:B108"/>
    <mergeCell ref="L108:M108"/>
    <mergeCell ref="B123:C123"/>
    <mergeCell ref="A189:B189"/>
    <mergeCell ref="A130:B130"/>
    <mergeCell ref="A132:B132"/>
    <mergeCell ref="L132:M132"/>
    <mergeCell ref="A159:B159"/>
    <mergeCell ref="A160:B160"/>
    <mergeCell ref="A161:B161"/>
    <mergeCell ref="A163:B163"/>
    <mergeCell ref="L163:M163"/>
    <mergeCell ref="A187:B187"/>
    <mergeCell ref="A188:B188"/>
    <mergeCell ref="L74:M74"/>
    <mergeCell ref="B96:C96"/>
    <mergeCell ref="B100:C100"/>
    <mergeCell ref="A104:B104"/>
    <mergeCell ref="A105:B105"/>
    <mergeCell ref="L219:M219"/>
    <mergeCell ref="L9:M9"/>
    <mergeCell ref="A24:B24"/>
    <mergeCell ref="A71:B71"/>
    <mergeCell ref="A5:B5"/>
    <mergeCell ref="A6:B6"/>
    <mergeCell ref="A7:B7"/>
    <mergeCell ref="A9:B9"/>
    <mergeCell ref="A25:B25"/>
    <mergeCell ref="A26:B26"/>
    <mergeCell ref="A27:B27"/>
    <mergeCell ref="L27:M27"/>
    <mergeCell ref="A70:B70"/>
    <mergeCell ref="A129:B129"/>
    <mergeCell ref="A72:B72"/>
    <mergeCell ref="A74:B74"/>
  </mergeCells>
  <phoneticPr fontId="34" type="noConversion"/>
  <pageMargins left="0.70866141732283472" right="0.70866141732283472" top="0.74803149606299213" bottom="0.74803149606299213" header="0.31496062992125984" footer="0.31496062992125984"/>
  <pageSetup scale="21" orientation="landscape" errors="blank" r:id="rId1"/>
  <headerFooter>
    <oddHeader>&amp;R&amp;P de &amp;N paginas</oddHeader>
  </headerFooter>
  <rowBreaks count="6" manualBreakCount="6">
    <brk id="23" max="15" man="1"/>
    <brk id="66" max="15" man="1"/>
    <brk id="103" max="15" man="1"/>
    <brk id="157" max="15" man="1"/>
    <brk id="200" max="15" man="1"/>
    <brk id="216" max="16383" man="1"/>
  </rowBreaks>
  <colBreaks count="1" manualBreakCount="1">
    <brk id="17" min="4" max="210" man="1"/>
  </colBreaks>
  <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BD533-5D07-457E-BE46-8FB0DBBEBFB7}">
  <dimension ref="A1:AH212"/>
  <sheetViews>
    <sheetView showZeros="0" tabSelected="1" view="pageBreakPreview" topLeftCell="A128" zoomScale="32" zoomScaleNormal="77" zoomScaleSheetLayoutView="32" workbookViewId="0">
      <selection activeCell="C85" sqref="C85"/>
    </sheetView>
  </sheetViews>
  <sheetFormatPr baseColWidth="10" defaultColWidth="8.84375" defaultRowHeight="26.15"/>
  <cols>
    <col min="1" max="1" width="14.4609375" style="140" customWidth="1"/>
    <col min="2" max="2" width="81.765625" style="140" customWidth="1"/>
    <col min="3" max="3" width="71.3828125" style="140" customWidth="1"/>
    <col min="4" max="4" width="30.23046875" style="140" customWidth="1"/>
    <col min="5" max="5" width="38.84375" style="140" customWidth="1"/>
    <col min="6" max="6" width="28.53515625" style="140" customWidth="1"/>
    <col min="7" max="7" width="16.07421875" style="140" customWidth="1"/>
    <col min="8" max="8" width="32.07421875" style="140" customWidth="1"/>
    <col min="9" max="9" width="18.23046875" style="140" customWidth="1"/>
    <col min="10" max="10" width="26.61328125" style="140" customWidth="1"/>
    <col min="11" max="11" width="34.23046875" style="140" customWidth="1"/>
    <col min="12" max="12" width="33.921875" style="140" customWidth="1"/>
    <col min="13" max="14" width="35.69140625" style="140" customWidth="1"/>
    <col min="15" max="15" width="30.84375" style="140" customWidth="1"/>
    <col min="16" max="16" width="57.23046875" style="140" customWidth="1"/>
    <col min="17" max="16384" width="8.84375" style="140"/>
  </cols>
  <sheetData>
    <row r="1" spans="1:29" ht="1.5" customHeight="1"/>
    <row r="2" spans="1:29" ht="9" hidden="1" customHeight="1"/>
    <row r="3" spans="1:29" hidden="1"/>
    <row r="4" spans="1:29" ht="37.5" hidden="1" customHeight="1"/>
    <row r="5" spans="1:29" ht="46.3">
      <c r="A5" s="461" t="s">
        <v>0</v>
      </c>
      <c r="B5" s="461"/>
      <c r="C5" s="143"/>
      <c r="D5" s="143"/>
      <c r="I5" s="166" t="s">
        <v>1</v>
      </c>
      <c r="J5" s="166" t="s">
        <v>2</v>
      </c>
      <c r="K5" s="177">
        <f>K24</f>
        <v>45962</v>
      </c>
      <c r="L5" s="178" t="s">
        <v>3</v>
      </c>
      <c r="M5" s="177">
        <f>M24</f>
        <v>45991</v>
      </c>
      <c r="N5" s="141"/>
    </row>
    <row r="6" spans="1:29" ht="28.3">
      <c r="A6" s="462" t="s">
        <v>4</v>
      </c>
      <c r="B6" s="462"/>
      <c r="C6" s="175" t="s">
        <v>223</v>
      </c>
      <c r="I6" s="163"/>
      <c r="J6" s="163"/>
      <c r="K6" s="163"/>
      <c r="L6" s="163"/>
      <c r="M6" s="163"/>
    </row>
    <row r="7" spans="1:29" ht="28.3">
      <c r="A7" s="462" t="s">
        <v>5</v>
      </c>
      <c r="B7" s="462"/>
      <c r="C7" s="176"/>
      <c r="I7" s="163"/>
      <c r="J7" s="163"/>
      <c r="K7" s="163"/>
      <c r="L7" s="163" t="s">
        <v>6</v>
      </c>
      <c r="M7" s="175">
        <v>192</v>
      </c>
    </row>
    <row r="9" spans="1:29" ht="30.9">
      <c r="A9" s="463" t="s">
        <v>7</v>
      </c>
      <c r="B9" s="463"/>
      <c r="C9" s="165" t="s">
        <v>8</v>
      </c>
      <c r="L9" s="458"/>
      <c r="M9" s="458"/>
    </row>
    <row r="10" spans="1:29" s="147" customFormat="1" ht="71.150000000000006" customHeight="1">
      <c r="A10" s="179" t="s">
        <v>10</v>
      </c>
      <c r="B10" s="179" t="s">
        <v>11</v>
      </c>
      <c r="C10" s="179" t="s">
        <v>12</v>
      </c>
      <c r="D10" s="179" t="s">
        <v>198</v>
      </c>
      <c r="E10" s="179" t="s">
        <v>192</v>
      </c>
      <c r="F10" s="179" t="s">
        <v>189</v>
      </c>
      <c r="G10" s="179" t="s">
        <v>14</v>
      </c>
      <c r="H10" s="179" t="s">
        <v>15</v>
      </c>
      <c r="I10" s="179" t="s">
        <v>197</v>
      </c>
      <c r="J10" s="179" t="s">
        <v>9</v>
      </c>
      <c r="K10" s="179" t="s">
        <v>16</v>
      </c>
      <c r="L10" s="179" t="s">
        <v>196</v>
      </c>
      <c r="M10" s="179" t="s">
        <v>194</v>
      </c>
      <c r="N10" s="179" t="s">
        <v>240</v>
      </c>
      <c r="O10" s="179" t="s">
        <v>241</v>
      </c>
      <c r="P10" s="179" t="s">
        <v>191</v>
      </c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6"/>
    </row>
    <row r="11" spans="1:29" s="141" customFormat="1" ht="61.3" customHeight="1">
      <c r="A11" s="212">
        <v>1</v>
      </c>
      <c r="B11" s="225" t="str">
        <f>VLOOKUP(Tabla5221[[#This Row],[No. Exp]],Tabla6[],2)</f>
        <v xml:space="preserve">Michel García Izquierdo </v>
      </c>
      <c r="C11" s="212">
        <f>VLOOKUP(Tabla5221[[#This Row],[No. Exp]],Tabla6[],3)</f>
        <v>87032201867</v>
      </c>
      <c r="D11" s="226">
        <f>M7</f>
        <v>192</v>
      </c>
      <c r="E11" s="226">
        <f>VLOOKUP(Tabla5221[[#This Row],[No. Exp]],Tabla6[],5)</f>
        <v>46.875</v>
      </c>
      <c r="F11" s="207">
        <f>ROUND(Tabla5221[[#This Row],[Horas Trabajadas]]*Tabla5221[[#This Row],[Tarifas por Horas]],0)</f>
        <v>9000</v>
      </c>
      <c r="G11" s="207"/>
      <c r="H11" s="208">
        <f>Tabla5221[[#This Row],[Salario Básico]]+Tabla5221[[#This Row],[Bonif]]</f>
        <v>9000</v>
      </c>
      <c r="I11" s="208"/>
      <c r="J11" s="209"/>
      <c r="K11" s="207">
        <f>Tabla5221[[#This Row],[Sal. Dev]]/24*Tabla5221[[#This Row],[Vacaciones]]</f>
        <v>0</v>
      </c>
      <c r="L11" s="207">
        <f>Tabla5221[[#This Row],[Sal. Dev]]-Tabla5221[[#This Row],[Ausencias]]+Tabla5221[[#This Row],[pago x vacaciones]]</f>
        <v>9000</v>
      </c>
      <c r="M11" s="207">
        <f>5%*Tabla5221[[#This Row],[Salario Neto]]</f>
        <v>450</v>
      </c>
      <c r="N11" s="206">
        <f>(9510-3260)*3%</f>
        <v>187.5</v>
      </c>
      <c r="O11" s="206"/>
      <c r="P11" s="347">
        <f>Tabla5221[[#This Row],[Sal. Dev]]-Tabla5221[[#This Row],[Ausencias]]+Tabla5221[[#This Row],[pago x vacaciones]]-Tabla5221[[#This Row],[importe Seg Social]]-Tabla5221[[#This Row],[Imp. Sobr. Ing. Per 3% (3260.00-9510.00)]]-Tabla5221[[#This Row],[Imp. Sobr. Ing. Per 5% (9510.00-15000.00)]]</f>
        <v>8362.5</v>
      </c>
      <c r="Q11" s="148"/>
    </row>
    <row r="12" spans="1:29" ht="65.150000000000006" customHeight="1">
      <c r="A12" s="212">
        <v>2</v>
      </c>
      <c r="B12" s="205" t="str">
        <f>VLOOKUP(Tabla5221[[#This Row],[No. Exp]],Tabla6[],2)</f>
        <v>Mabel Molina Fajardo</v>
      </c>
      <c r="C12" s="212">
        <f>VLOOKUP(Tabla5221[[#This Row],[No. Exp]],Tabla6[],3)</f>
        <v>84100406736</v>
      </c>
      <c r="D12" s="206">
        <f>D11</f>
        <v>192</v>
      </c>
      <c r="E12" s="206">
        <f>VLOOKUP(Tabla5221[[#This Row],[No. Exp]],Tabla6[],5)</f>
        <v>46.875</v>
      </c>
      <c r="F12" s="207">
        <f>ROUND(Tabla5221[[#This Row],[Horas Trabajadas]]*Tabla5221[[#This Row],[Tarifas por Horas]],0)</f>
        <v>9000</v>
      </c>
      <c r="G12" s="207"/>
      <c r="H12" s="208">
        <f>Tabla5221[[#This Row],[Salario Básico]]+Tabla5221[[#This Row],[Bonif]]</f>
        <v>9000</v>
      </c>
      <c r="I12" s="208">
        <f>E8</f>
        <v>0</v>
      </c>
      <c r="J12" s="209"/>
      <c r="K12" s="207">
        <f>Tabla5221[[#This Row],[Sal. Dev]]/24*Tabla5221[[#This Row],[Vacaciones]]</f>
        <v>0</v>
      </c>
      <c r="L12" s="207">
        <f>Tabla5221[[#This Row],[Sal. Dev]]-Tabla5221[[#This Row],[Ausencias]]+Tabla5221[[#This Row],[pago x vacaciones]]</f>
        <v>9000</v>
      </c>
      <c r="M12" s="207">
        <f>5%*Tabla5221[[#This Row],[Salario Neto]]</f>
        <v>450</v>
      </c>
      <c r="N12" s="206">
        <f t="shared" ref="N12:N16" si="0">(9510-3260)*3%</f>
        <v>187.5</v>
      </c>
      <c r="O12" s="206"/>
      <c r="P12" s="347">
        <f>Tabla5221[[#This Row],[Sal. Dev]]-Tabla5221[[#This Row],[Ausencias]]+Tabla5221[[#This Row],[pago x vacaciones]]-Tabla5221[[#This Row],[importe Seg Social]]-Tabla5221[[#This Row],[Imp. Sobr. Ing. Per 3% (3260.00-9510.00)]]-Tabla5221[[#This Row],[Imp. Sobr. Ing. Per 5% (9510.00-15000.00)]]</f>
        <v>8362.5</v>
      </c>
    </row>
    <row r="13" spans="1:29" ht="69" customHeight="1">
      <c r="A13" s="212">
        <v>3</v>
      </c>
      <c r="B13" s="205" t="str">
        <f>VLOOKUP(Tabla5221[[#This Row],[No. Exp]],Tabla6[],2)</f>
        <v>Yanet González Rodríguez</v>
      </c>
      <c r="C13" s="212">
        <f>VLOOKUP(Tabla5221[[#This Row],[No. Exp]],Tabla6[],3)</f>
        <v>90081132492</v>
      </c>
      <c r="D13" s="206">
        <f t="shared" ref="D13:D16" si="1">D12</f>
        <v>192</v>
      </c>
      <c r="E13" s="206">
        <f>VLOOKUP(Tabla5221[[#This Row],[No. Exp]],Tabla6[],5)</f>
        <v>46.875</v>
      </c>
      <c r="F13" s="207">
        <f>ROUND(Tabla5221[[#This Row],[Horas Trabajadas]]*Tabla5221[[#This Row],[Tarifas por Horas]],0)</f>
        <v>9000</v>
      </c>
      <c r="G13" s="207"/>
      <c r="H13" s="208">
        <f>Tabla5221[[#This Row],[Salario Básico]]+Tabla5221[[#This Row],[Bonif]]</f>
        <v>9000</v>
      </c>
      <c r="I13" s="289">
        <f>E9</f>
        <v>0</v>
      </c>
      <c r="J13" s="209"/>
      <c r="K13" s="207">
        <f>Tabla5221[[#This Row],[Sal. Dev]]/24*Tabla5221[[#This Row],[Vacaciones]]</f>
        <v>0</v>
      </c>
      <c r="L13" s="207">
        <f>Tabla5221[[#This Row],[Sal. Dev]]-Tabla5221[[#This Row],[Ausencias]]+Tabla5221[[#This Row],[pago x vacaciones]]</f>
        <v>9000</v>
      </c>
      <c r="M13" s="207">
        <f>5%*Tabla5221[[#This Row],[Salario Neto]]</f>
        <v>450</v>
      </c>
      <c r="N13" s="206">
        <f t="shared" si="0"/>
        <v>187.5</v>
      </c>
      <c r="O13" s="206"/>
      <c r="P13" s="347">
        <f>Tabla5221[[#This Row],[Sal. Dev]]-Tabla5221[[#This Row],[Ausencias]]+Tabla5221[[#This Row],[pago x vacaciones]]-Tabla5221[[#This Row],[importe Seg Social]]-Tabla5221[[#This Row],[Imp. Sobr. Ing. Per 3% (3260.00-9510.00)]]-Tabla5221[[#This Row],[Imp. Sobr. Ing. Per 5% (9510.00-15000.00)]]</f>
        <v>8362.5</v>
      </c>
    </row>
    <row r="14" spans="1:29" ht="68.150000000000006" customHeight="1">
      <c r="A14" s="212">
        <v>4</v>
      </c>
      <c r="B14" s="205" t="str">
        <f>VLOOKUP(Tabla5221[[#This Row],[No. Exp]],Tabla6[],2)</f>
        <v>Patricia San Gabino Delgado</v>
      </c>
      <c r="C14" s="212">
        <f>VLOOKUP(Tabla5221[[#This Row],[No. Exp]],Tabla6[],3)</f>
        <v>90022032253</v>
      </c>
      <c r="D14" s="206">
        <f t="shared" si="1"/>
        <v>192</v>
      </c>
      <c r="E14" s="206">
        <f>VLOOKUP(Tabla5221[[#This Row],[No. Exp]],Tabla6[],5)</f>
        <v>46.875</v>
      </c>
      <c r="F14" s="207">
        <f>ROUND(Tabla5221[[#This Row],[Horas Trabajadas]]*Tabla5221[[#This Row],[Tarifas por Horas]],0)</f>
        <v>9000</v>
      </c>
      <c r="G14" s="207"/>
      <c r="H14" s="208">
        <f>Tabla5221[[#This Row],[Salario Básico]]+Tabla5221[[#This Row],[Bonif]]</f>
        <v>9000</v>
      </c>
      <c r="I14" s="289"/>
      <c r="J14" s="209"/>
      <c r="K14" s="207">
        <f>Tabla5221[[#This Row],[Sal. Dev]]/24*Tabla5221[[#This Row],[Vacaciones]]</f>
        <v>0</v>
      </c>
      <c r="L14" s="207">
        <f>Tabla5221[[#This Row],[Sal. Dev]]-Tabla5221[[#This Row],[Ausencias]]+Tabla5221[[#This Row],[pago x vacaciones]]</f>
        <v>9000</v>
      </c>
      <c r="M14" s="207">
        <f>5%*Tabla5221[[#This Row],[Salario Neto]]</f>
        <v>450</v>
      </c>
      <c r="N14" s="206">
        <f t="shared" si="0"/>
        <v>187.5</v>
      </c>
      <c r="O14" s="206"/>
      <c r="P14" s="347">
        <f>Tabla5221[[#This Row],[Sal. Dev]]-Tabla5221[[#This Row],[Ausencias]]+Tabla5221[[#This Row],[pago x vacaciones]]-Tabla5221[[#This Row],[importe Seg Social]]-Tabla5221[[#This Row],[Imp. Sobr. Ing. Per 3% (3260.00-9510.00)]]-Tabla5221[[#This Row],[Imp. Sobr. Ing. Per 5% (9510.00-15000.00)]]</f>
        <v>8362.5</v>
      </c>
    </row>
    <row r="15" spans="1:29" ht="85.75" customHeight="1">
      <c r="A15" s="212">
        <v>6</v>
      </c>
      <c r="B15" s="205" t="str">
        <f>VLOOKUP(Tabla5221[[#This Row],[No. Exp]],Tabla6[],2)</f>
        <v>Amanda Miguel Marcano Bahler</v>
      </c>
      <c r="C15" s="212" t="str">
        <f>VLOOKUP(Tabla5221[[#This Row],[No. Exp]],Tabla6[],3)</f>
        <v>00122868475</v>
      </c>
      <c r="D15" s="206">
        <f t="shared" si="1"/>
        <v>192</v>
      </c>
      <c r="E15" s="206">
        <f>VLOOKUP(Tabla5221[[#This Row],[No. Exp]],Tabla6[],5)</f>
        <v>46.875</v>
      </c>
      <c r="F15" s="207">
        <f>ROUND(Tabla5221[[#This Row],[Horas Trabajadas]]*Tabla5221[[#This Row],[Tarifas por Horas]],0)</f>
        <v>9000</v>
      </c>
      <c r="G15" s="207"/>
      <c r="H15" s="208">
        <f>Tabla5221[[#This Row],[Salario Básico]]+Tabla5221[[#This Row],[Bonif]]</f>
        <v>9000</v>
      </c>
      <c r="I15" s="289"/>
      <c r="J15" s="209"/>
      <c r="K15" s="207">
        <f>Tabla5221[[#This Row],[Sal. Dev]]/24*Tabla5221[[#This Row],[Vacaciones]]</f>
        <v>0</v>
      </c>
      <c r="L15" s="207">
        <f>Tabla5221[[#This Row],[Sal. Dev]]-Tabla5221[[#This Row],[Ausencias]]+Tabla5221[[#This Row],[pago x vacaciones]]</f>
        <v>9000</v>
      </c>
      <c r="M15" s="207">
        <f>5%*Tabla5221[[#This Row],[Salario Neto]]</f>
        <v>450</v>
      </c>
      <c r="N15" s="206">
        <f t="shared" si="0"/>
        <v>187.5</v>
      </c>
      <c r="O15" s="206"/>
      <c r="P15" s="347">
        <f>Tabla5221[[#This Row],[Sal. Dev]]-Tabla5221[[#This Row],[Ausencias]]+Tabla5221[[#This Row],[pago x vacaciones]]-Tabla5221[[#This Row],[importe Seg Social]]-Tabla5221[[#This Row],[Imp. Sobr. Ing. Per 3% (3260.00-9510.00)]]-Tabla5221[[#This Row],[Imp. Sobr. Ing. Per 5% (9510.00-15000.00)]]</f>
        <v>8362.5</v>
      </c>
    </row>
    <row r="16" spans="1:29" ht="85.3" customHeight="1">
      <c r="A16" s="212">
        <v>8</v>
      </c>
      <c r="B16" s="205" t="str">
        <f>VLOOKUP(Tabla5221[[#This Row],[No. Exp]],Tabla6[],2)</f>
        <v>Carlos Alberto García Lorente</v>
      </c>
      <c r="C16" s="212">
        <f>VLOOKUP(Tabla5221[[#This Row],[No. Exp]],Tabla6[],3)</f>
        <v>63091617120</v>
      </c>
      <c r="D16" s="206">
        <f t="shared" si="1"/>
        <v>192</v>
      </c>
      <c r="E16" s="206">
        <f>VLOOKUP(Tabla5221[[#This Row],[No. Exp]],Tabla6[],5)</f>
        <v>46.875</v>
      </c>
      <c r="F16" s="207">
        <f>ROUND(Tabla5221[[#This Row],[Horas Trabajadas]]*Tabla5221[[#This Row],[Tarifas por Horas]],0)</f>
        <v>9000</v>
      </c>
      <c r="G16" s="207"/>
      <c r="H16" s="208">
        <f>Tabla5221[[#This Row],[Salario Básico]]+Tabla5221[[#This Row],[Bonif]]</f>
        <v>9000</v>
      </c>
      <c r="I16" s="289"/>
      <c r="J16" s="209"/>
      <c r="K16" s="207">
        <f>Tabla5221[[#This Row],[Sal. Dev]]/24*Tabla5221[[#This Row],[Vacaciones]]</f>
        <v>0</v>
      </c>
      <c r="L16" s="207">
        <f>Tabla5221[[#This Row],[Sal. Dev]]-Tabla5221[[#This Row],[Ausencias]]+Tabla5221[[#This Row],[pago x vacaciones]]</f>
        <v>9000</v>
      </c>
      <c r="M16" s="207">
        <f>5%*Tabla5221[[#This Row],[Salario Neto]]</f>
        <v>450</v>
      </c>
      <c r="N16" s="206">
        <f t="shared" si="0"/>
        <v>187.5</v>
      </c>
      <c r="O16" s="206"/>
      <c r="P16" s="347">
        <f>Tabla5221[[#This Row],[Sal. Dev]]-Tabla5221[[#This Row],[Ausencias]]+Tabla5221[[#This Row],[pago x vacaciones]]-Tabla5221[[#This Row],[importe Seg Social]]-Tabla5221[[#This Row],[Imp. Sobr. Ing. Per 3% (3260.00-9510.00)]]-Tabla5221[[#This Row],[Imp. Sobr. Ing. Per 5% (9510.00-15000.00)]]</f>
        <v>8362.5</v>
      </c>
    </row>
    <row r="17" spans="1:34" ht="37.75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22" spans="1:34" ht="33.450000000000003">
      <c r="B22" s="164" t="s">
        <v>242</v>
      </c>
    </row>
    <row r="24" spans="1:34" ht="45.45">
      <c r="A24" s="459" t="s">
        <v>0</v>
      </c>
      <c r="B24" s="459"/>
      <c r="C24" s="180"/>
      <c r="D24" s="180"/>
      <c r="E24" s="174"/>
      <c r="F24" s="174"/>
      <c r="G24" s="174"/>
      <c r="H24" s="174"/>
      <c r="I24" s="181" t="s">
        <v>1</v>
      </c>
      <c r="J24" s="181" t="s">
        <v>2</v>
      </c>
      <c r="K24" s="182">
        <v>45962</v>
      </c>
      <c r="L24" s="183" t="s">
        <v>3</v>
      </c>
      <c r="M24" s="182">
        <v>45991</v>
      </c>
      <c r="N24" s="181"/>
      <c r="O24" s="174"/>
      <c r="P24" s="174"/>
      <c r="Q24" s="174"/>
    </row>
    <row r="25" spans="1:34">
      <c r="A25" s="460" t="s">
        <v>4</v>
      </c>
      <c r="B25" s="460"/>
      <c r="C25" s="184" t="str">
        <f>C6</f>
        <v>Amanda Marcano Bahler</v>
      </c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</row>
    <row r="26" spans="1:34">
      <c r="A26" s="460" t="s">
        <v>5</v>
      </c>
      <c r="B26" s="460"/>
      <c r="C26" s="185"/>
      <c r="D26" s="174"/>
      <c r="E26" s="174"/>
      <c r="F26" s="174"/>
      <c r="G26" s="174"/>
      <c r="H26" s="174"/>
      <c r="I26" s="174"/>
      <c r="J26" s="174"/>
      <c r="K26" s="174"/>
      <c r="L26" s="174" t="str">
        <f>L7</f>
        <v>Horas:</v>
      </c>
      <c r="M26" s="184">
        <f>M7</f>
        <v>192</v>
      </c>
      <c r="N26" s="174"/>
      <c r="O26" s="174"/>
      <c r="P26" s="174"/>
      <c r="Q26" s="174"/>
    </row>
    <row r="27" spans="1:34" ht="30">
      <c r="A27" s="464" t="s">
        <v>7</v>
      </c>
      <c r="B27" s="464"/>
      <c r="C27" s="187" t="s">
        <v>17</v>
      </c>
      <c r="D27" s="174"/>
      <c r="E27" s="174"/>
      <c r="F27" s="174"/>
      <c r="G27" s="174"/>
      <c r="H27" s="174"/>
      <c r="I27" s="174"/>
      <c r="J27" s="174"/>
      <c r="K27" s="174"/>
      <c r="L27" s="460"/>
      <c r="M27" s="460"/>
      <c r="N27" s="174"/>
      <c r="O27" s="174"/>
      <c r="P27" s="174"/>
      <c r="Q27" s="174"/>
    </row>
    <row r="28" spans="1:34" s="152" customFormat="1" ht="69" customHeight="1">
      <c r="A28" s="170" t="s">
        <v>10</v>
      </c>
      <c r="B28" s="171" t="s">
        <v>11</v>
      </c>
      <c r="C28" s="171" t="s">
        <v>12</v>
      </c>
      <c r="D28" s="171" t="s">
        <v>198</v>
      </c>
      <c r="E28" s="171" t="s">
        <v>193</v>
      </c>
      <c r="F28" s="171" t="s">
        <v>189</v>
      </c>
      <c r="G28" s="171" t="s">
        <v>14</v>
      </c>
      <c r="H28" s="172" t="s">
        <v>15</v>
      </c>
      <c r="I28" s="171" t="s">
        <v>197</v>
      </c>
      <c r="J28" s="171" t="s">
        <v>9</v>
      </c>
      <c r="K28" s="171" t="s">
        <v>18</v>
      </c>
      <c r="L28" s="171" t="s">
        <v>196</v>
      </c>
      <c r="M28" s="171" t="s">
        <v>194</v>
      </c>
      <c r="N28" s="171" t="s">
        <v>240</v>
      </c>
      <c r="O28" s="171" t="s">
        <v>241</v>
      </c>
      <c r="P28" s="173" t="s">
        <v>191</v>
      </c>
      <c r="Q28" s="174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61"/>
    </row>
    <row r="29" spans="1:34" ht="58.75" customHeight="1">
      <c r="A29" s="204">
        <v>5</v>
      </c>
      <c r="B29" s="205" t="str">
        <f>VLOOKUP(Tabla5121022[[#This Row],[No. Exp]],Tabla6[],2)</f>
        <v>Roberto Palacios Díaz</v>
      </c>
      <c r="C29" s="212" t="str">
        <f>VLOOKUP(Tabla5121022[[#This Row],[No. Exp]],Tabla6[],3)</f>
        <v>89092321528</v>
      </c>
      <c r="D29" s="206">
        <v>192</v>
      </c>
      <c r="E29" s="206">
        <f>VLOOKUP(Tabla5121022[[#This Row],[No. Exp]],Tabla6[],5)</f>
        <v>41.665999999999997</v>
      </c>
      <c r="F29" s="206">
        <f>ROUND(Tabla5121022[[#This Row],[Horas Trabajadas]]*Tabla5121022[[#This Row],[Tarifas x horas ]],0)</f>
        <v>8000</v>
      </c>
      <c r="G29" s="207"/>
      <c r="H29" s="210">
        <f>Tabla5121022[[#This Row],[Salario Básico]]+Tabla5121022[[#This Row],[Bonif]]</f>
        <v>8000</v>
      </c>
      <c r="I29" s="207"/>
      <c r="J29" s="207">
        <v>10</v>
      </c>
      <c r="K29" s="206">
        <f>Tabla5121022[[#This Row],[Sal. Dev]]/24*Tabla5121022[[#This Row],[Vacaciones]]</f>
        <v>3333.333333333333</v>
      </c>
      <c r="L29" s="426">
        <f>Tabla5121022[[#This Row],[Sal. Dev]]-Tabla5121022[[#This Row],[Ausencias]]+Tabla5121022[[#This Row],[pago x Vacaciones]]</f>
        <v>11333.333333333332</v>
      </c>
      <c r="M29" s="427">
        <f>5%*Tabla5121022[[#This Row],[Salario Neto]]</f>
        <v>566.66666666666663</v>
      </c>
      <c r="N29" s="206">
        <f>(9510-3260)*3%</f>
        <v>187.5</v>
      </c>
      <c r="O29" s="206">
        <f>(Tabla5121022[[#This Row],[Salario Neto]]-9510)*5%</f>
        <v>91.166666666666615</v>
      </c>
      <c r="P29" s="388">
        <f>Tabla5121022[[#This Row],[Sal. Dev]]-Tabla5121022[[#This Row],[Ausencias]]+Tabla5121022[[#This Row],[pago x Vacaciones]]-Tabla5121022[[#This Row],[importe Seg Social]]-Tabla5121022[[#This Row],[Imp. Sobr. Ing. Per 3% (3260.00-9510.00)]]-Tabla5121022[[#This Row],[Imp. Sobr. Ing. Per 5% (9510.00-15000.00)]]</f>
        <v>10488</v>
      </c>
      <c r="Q29" s="174"/>
    </row>
    <row r="30" spans="1:34" ht="68.599999999999994" customHeight="1">
      <c r="A30" s="211">
        <v>9</v>
      </c>
      <c r="B30" s="205" t="str">
        <f>VLOOKUP(Tabla5121022[[#This Row],[No. Exp]],Tabla6[],2)</f>
        <v>Leonardo Goberna Sánchez</v>
      </c>
      <c r="C30" s="212" t="str">
        <f>VLOOKUP(Tabla5121022[[#This Row],[No. Exp]],Tabla6[],3)</f>
        <v>97042008188</v>
      </c>
      <c r="D30" s="206">
        <v>192</v>
      </c>
      <c r="E30" s="206">
        <f>VLOOKUP(Tabla5121022[[#This Row],[No. Exp]],Tabla6[],5)</f>
        <v>40.625</v>
      </c>
      <c r="F30" s="206">
        <f>ROUND(Tabla5121022[[#This Row],[Horas Trabajadas]]*Tabla5121022[[#This Row],[Tarifas x horas ]],0)</f>
        <v>7800</v>
      </c>
      <c r="G30" s="207"/>
      <c r="H30" s="210">
        <f>Tabla5121022[[#This Row],[Salario Básico]]+Tabla5121022[[#This Row],[Bonif]]</f>
        <v>7800</v>
      </c>
      <c r="I30" s="208"/>
      <c r="J30" s="209"/>
      <c r="K30" s="207">
        <f>Tabla5121022[[#This Row],[Sal. Dev]]/24*Tabla5121022[[#This Row],[Vacaciones]]</f>
        <v>0</v>
      </c>
      <c r="L30" s="210">
        <f>Tabla5121022[[#This Row],[Sal. Dev]]-Tabla5121022[[#This Row],[Ausencias]]+Tabla5121022[[#This Row],[pago x Vacaciones]]</f>
        <v>7800</v>
      </c>
      <c r="M30" s="206">
        <f>5%*Tabla5121022[[#This Row],[Salario Neto]]</f>
        <v>390</v>
      </c>
      <c r="N30" s="206">
        <f t="shared" ref="N30:N51" si="2">(9510-3260)*3%</f>
        <v>187.5</v>
      </c>
      <c r="O30" s="206"/>
      <c r="P30" s="210">
        <f>Tabla5121022[[#This Row],[Sal. Dev]]-Tabla5121022[[#This Row],[Ausencias]]+Tabla5121022[[#This Row],[pago x Vacaciones]]-Tabla5121022[[#This Row],[importe Seg Social]]-Tabla5121022[[#This Row],[Imp. Sobr. Ing. Per 3% (3260.00-9510.00)]]</f>
        <v>7222.5</v>
      </c>
      <c r="Q30" s="174"/>
    </row>
    <row r="31" spans="1:34" ht="72.45" customHeight="1">
      <c r="A31" s="211">
        <v>10</v>
      </c>
      <c r="B31" s="205" t="str">
        <f>VLOOKUP(Tabla5121022[[#This Row],[No. Exp]],Tabla6[],2)</f>
        <v>Liván León López</v>
      </c>
      <c r="C31" s="212">
        <f>VLOOKUP(Tabla5121022[[#This Row],[No. Exp]],Tabla6[],3)</f>
        <v>98090107024</v>
      </c>
      <c r="D31" s="206">
        <f>D30</f>
        <v>192</v>
      </c>
      <c r="E31" s="206">
        <f>VLOOKUP(Tabla5121022[[#This Row],[No. Exp]],Tabla6[],5)</f>
        <v>40.625</v>
      </c>
      <c r="F31" s="206">
        <f>ROUND(Tabla5121022[[#This Row],[Horas Trabajadas]]*Tabla5121022[[#This Row],[Tarifas x horas ]],0)</f>
        <v>7800</v>
      </c>
      <c r="G31" s="207"/>
      <c r="H31" s="210">
        <f>Tabla5121022[[#This Row],[Salario Básico]]+Tabla5121022[[#This Row],[Bonif]]</f>
        <v>7800</v>
      </c>
      <c r="I31" s="213"/>
      <c r="J31" s="209"/>
      <c r="K31" s="207">
        <f>Tabla5121022[[#This Row],[Sal. Dev]]/24*Tabla5121022[[#This Row],[Vacaciones]]</f>
        <v>0</v>
      </c>
      <c r="L31" s="210">
        <f>Tabla5121022[[#This Row],[Sal. Dev]]-Tabla5121022[[#This Row],[Ausencias]]+Tabla5121022[[#This Row],[pago x Vacaciones]]</f>
        <v>7800</v>
      </c>
      <c r="M31" s="206">
        <f>5%*Tabla5121022[[#This Row],[Salario Neto]]</f>
        <v>390</v>
      </c>
      <c r="N31" s="206">
        <f t="shared" si="2"/>
        <v>187.5</v>
      </c>
      <c r="O31" s="206"/>
      <c r="P31" s="210">
        <f>Tabla5121022[[#This Row],[Sal. Dev]]-Tabla5121022[[#This Row],[Ausencias]]+Tabla5121022[[#This Row],[pago x Vacaciones]]-Tabla5121022[[#This Row],[importe Seg Social]]-Tabla5121022[[#This Row],[Imp. Sobr. Ing. Per 3% (3260.00-9510.00)]]</f>
        <v>7222.5</v>
      </c>
      <c r="Q31" s="174"/>
    </row>
    <row r="32" spans="1:34" ht="65.150000000000006" customHeight="1">
      <c r="A32" s="211">
        <v>11</v>
      </c>
      <c r="B32" s="205" t="str">
        <f>VLOOKUP(Tabla5121022[[#This Row],[No. Exp]],Tabla6[],2)</f>
        <v>Norge Araújo Ortega</v>
      </c>
      <c r="C32" s="212">
        <f>VLOOKUP(Tabla5121022[[#This Row],[No. Exp]],Tabla6[],3)</f>
        <v>87121431060</v>
      </c>
      <c r="D32" s="206">
        <f t="shared" ref="D32:D40" si="3">D30</f>
        <v>192</v>
      </c>
      <c r="E32" s="206">
        <f>VLOOKUP(Tabla5121022[[#This Row],[No. Exp]],Tabla6[],5)</f>
        <v>40.625</v>
      </c>
      <c r="F32" s="206">
        <f>ROUND(Tabla5121022[[#This Row],[Horas Trabajadas]]*Tabla5121022[[#This Row],[Tarifas x horas ]],0)</f>
        <v>7800</v>
      </c>
      <c r="G32" s="207"/>
      <c r="H32" s="210">
        <f>Tabla5121022[[#This Row],[Salario Básico]]+Tabla5121022[[#This Row],[Bonif]]</f>
        <v>7800</v>
      </c>
      <c r="I32" s="213"/>
      <c r="J32" s="209"/>
      <c r="K32" s="207">
        <f>Tabla5121022[[#This Row],[Sal. Dev]]/24*Tabla5121022[[#This Row],[Vacaciones]]</f>
        <v>0</v>
      </c>
      <c r="L32" s="210">
        <f>Tabla5121022[[#This Row],[Sal. Dev]]-Tabla5121022[[#This Row],[Ausencias]]+Tabla5121022[[#This Row],[pago x Vacaciones]]</f>
        <v>7800</v>
      </c>
      <c r="M32" s="206">
        <f>5%*Tabla5121022[[#This Row],[Salario Neto]]</f>
        <v>390</v>
      </c>
      <c r="N32" s="206">
        <f t="shared" si="2"/>
        <v>187.5</v>
      </c>
      <c r="O32" s="206"/>
      <c r="P32" s="210">
        <f>Tabla5121022[[#This Row],[Sal. Dev]]-Tabla5121022[[#This Row],[Ausencias]]+Tabla5121022[[#This Row],[pago x Vacaciones]]-Tabla5121022[[#This Row],[importe Seg Social]]-Tabla5121022[[#This Row],[Imp. Sobr. Ing. Per 3% (3260.00-9510.00)]]</f>
        <v>7222.5</v>
      </c>
      <c r="Q32" s="174"/>
    </row>
    <row r="33" spans="1:17" ht="96" customHeight="1">
      <c r="A33" s="211">
        <v>12</v>
      </c>
      <c r="B33" s="205" t="str">
        <f>VLOOKUP(Tabla5121022[[#This Row],[No. Exp]],Tabla6[],2)</f>
        <v>Humberto Eugenio Blanco Hernanadez</v>
      </c>
      <c r="C33" s="212">
        <f>VLOOKUP(Tabla5121022[[#This Row],[No. Exp]],Tabla6[],3)</f>
        <v>96042423224</v>
      </c>
      <c r="D33" s="206">
        <f t="shared" si="3"/>
        <v>192</v>
      </c>
      <c r="E33" s="206">
        <f>VLOOKUP(Tabla5121022[[#This Row],[No. Exp]],Tabla6[],5)</f>
        <v>40.625</v>
      </c>
      <c r="F33" s="206">
        <f>ROUND(Tabla5121022[[#This Row],[Horas Trabajadas]]*Tabla5121022[[#This Row],[Tarifas x horas ]],0)</f>
        <v>7800</v>
      </c>
      <c r="G33" s="207"/>
      <c r="H33" s="210">
        <f>Tabla5121022[[#This Row],[Salario Básico]]+Tabla5121022[[#This Row],[Bonif]]</f>
        <v>7800</v>
      </c>
      <c r="I33" s="213"/>
      <c r="J33" s="209">
        <v>10</v>
      </c>
      <c r="K33" s="206">
        <f>Tabla5121022[[#This Row],[Sal. Dev]]/24*Tabla5121022[[#This Row],[Vacaciones]]</f>
        <v>3250</v>
      </c>
      <c r="L33" s="210">
        <f>Tabla5121022[[#This Row],[Sal. Dev]]-Tabla5121022[[#This Row],[Ausencias]]+Tabla5121022[[#This Row],[pago x Vacaciones]]</f>
        <v>11050</v>
      </c>
      <c r="M33" s="206">
        <f>5%*Tabla5121022[[#This Row],[Salario Neto]]</f>
        <v>552.5</v>
      </c>
      <c r="N33" s="206">
        <f t="shared" si="2"/>
        <v>187.5</v>
      </c>
      <c r="O33" s="206">
        <f>(Tabla5121022[[#This Row],[Salario Neto]]-9510)*5%</f>
        <v>77</v>
      </c>
      <c r="P33" s="210">
        <f>Tabla5121022[[#This Row],[Sal. Dev]]-Tabla5121022[[#This Row],[Ausencias]]+Tabla5121022[[#This Row],[pago x Vacaciones]]-Tabla5121022[[#This Row],[importe Seg Social]]-Tabla5121022[[#This Row],[Imp. Sobr. Ing. Per 3% (3260.00-9510.00)]]-Tabla5121022[[#This Row],[Imp. Sobr. Ing. Per 5% (9510.00-15000.00)]]</f>
        <v>10233</v>
      </c>
      <c r="Q33" s="174"/>
    </row>
    <row r="34" spans="1:17" ht="67.75" customHeight="1">
      <c r="A34" s="211">
        <v>14</v>
      </c>
      <c r="B34" s="205" t="str">
        <f>VLOOKUP(Tabla5121022[[#This Row],[No. Exp]],Tabla6[],2)</f>
        <v>Jesús Pérez Fagundo</v>
      </c>
      <c r="C34" s="212">
        <f>VLOOKUP(Tabla5121022[[#This Row],[No. Exp]],Tabla6[],3)</f>
        <v>88062613221</v>
      </c>
      <c r="D34" s="206">
        <f>D33</f>
        <v>192</v>
      </c>
      <c r="E34" s="206">
        <f>VLOOKUP(Tabla5121022[[#This Row],[No. Exp]],Tabla6[],5)</f>
        <v>40.625</v>
      </c>
      <c r="F34" s="206">
        <f>ROUND(Tabla5121022[[#This Row],[Horas Trabajadas]]*Tabla5121022[[#This Row],[Tarifas x horas ]],0)</f>
        <v>7800</v>
      </c>
      <c r="G34" s="207"/>
      <c r="H34" s="210">
        <f>Tabla5121022[[#This Row],[Salario Básico]]+Tabla5121022[[#This Row],[Bonif]]</f>
        <v>7800</v>
      </c>
      <c r="I34" s="213"/>
      <c r="J34" s="209">
        <v>10</v>
      </c>
      <c r="K34" s="206">
        <f>Tabla5121022[[#This Row],[Sal. Dev]]/24*Tabla5121022[[#This Row],[Vacaciones]]</f>
        <v>3250</v>
      </c>
      <c r="L34" s="210">
        <f>Tabla5121022[[#This Row],[Sal. Dev]]-Tabla5121022[[#This Row],[Ausencias]]+Tabla5121022[[#This Row],[pago x Vacaciones]]</f>
        <v>11050</v>
      </c>
      <c r="M34" s="206">
        <f>5%*Tabla5121022[[#This Row],[Salario Neto]]</f>
        <v>552.5</v>
      </c>
      <c r="N34" s="206">
        <f t="shared" si="2"/>
        <v>187.5</v>
      </c>
      <c r="O34" s="206">
        <f>(Tabla5121022[[#This Row],[Salario Neto]]-9510)*5%</f>
        <v>77</v>
      </c>
      <c r="P34" s="210">
        <f>Tabla5121022[[#This Row],[Sal. Dev]]-Tabla5121022[[#This Row],[Ausencias]]+Tabla5121022[[#This Row],[pago x Vacaciones]]-Tabla5121022[[#This Row],[importe Seg Social]]-Tabla5121022[[#This Row],[Imp. Sobr. Ing. Per 3% (3260.00-9510.00)]]-Tabla5121022[[#This Row],[Imp. Sobr. Ing. Per 5% (9510.00-15000.00)]]</f>
        <v>10233</v>
      </c>
      <c r="Q34" s="174"/>
    </row>
    <row r="35" spans="1:17" ht="54.45" customHeight="1">
      <c r="A35" s="211">
        <v>15</v>
      </c>
      <c r="B35" s="205" t="str">
        <f>VLOOKUP(Tabla5121022[[#This Row],[No. Exp]],Tabla6[],2)</f>
        <v>Alexei  Llanes Gonzalez</v>
      </c>
      <c r="C35" s="212">
        <f>VLOOKUP(Tabla5121022[[#This Row],[No. Exp]],Tabla6[],3)</f>
        <v>97012308566</v>
      </c>
      <c r="D35" s="206">
        <f>D34</f>
        <v>192</v>
      </c>
      <c r="E35" s="206">
        <f>VLOOKUP(Tabla5121022[[#This Row],[No. Exp]],Tabla6[],5)</f>
        <v>40.625</v>
      </c>
      <c r="F35" s="206">
        <f>ROUND(Tabla5121022[[#This Row],[Horas Trabajadas]]*Tabla5121022[[#This Row],[Tarifas x horas ]],0)</f>
        <v>7800</v>
      </c>
      <c r="G35" s="207"/>
      <c r="H35" s="210">
        <f>Tabla5121022[[#This Row],[Salario Básico]]+Tabla5121022[[#This Row],[Bonif]]</f>
        <v>7800</v>
      </c>
      <c r="I35" s="213"/>
      <c r="J35" s="209"/>
      <c r="K35" s="207">
        <f>Tabla5121022[[#This Row],[Sal. Dev]]/24*Tabla5121022[[#This Row],[Vacaciones]]</f>
        <v>0</v>
      </c>
      <c r="L35" s="210">
        <f>Tabla5121022[[#This Row],[Sal. Dev]]-Tabla5121022[[#This Row],[Ausencias]]+Tabla5121022[[#This Row],[pago x Vacaciones]]</f>
        <v>7800</v>
      </c>
      <c r="M35" s="206">
        <f>5%*Tabla5121022[[#This Row],[Salario Neto]]</f>
        <v>390</v>
      </c>
      <c r="N35" s="206">
        <f t="shared" si="2"/>
        <v>187.5</v>
      </c>
      <c r="O35" s="206"/>
      <c r="P35" s="210">
        <f>Tabla5121022[[#This Row],[Sal. Dev]]-Tabla5121022[[#This Row],[Ausencias]]+Tabla5121022[[#This Row],[pago x Vacaciones]]-Tabla5121022[[#This Row],[importe Seg Social]]-Tabla5121022[[#This Row],[Imp. Sobr. Ing. Per 3% (3260.00-9510.00)]]</f>
        <v>7222.5</v>
      </c>
      <c r="Q35" s="174"/>
    </row>
    <row r="36" spans="1:17" ht="64.3" customHeight="1">
      <c r="A36" s="211">
        <v>16</v>
      </c>
      <c r="B36" s="205" t="str">
        <f>VLOOKUP(Tabla5121022[[#This Row],[No. Exp]],Tabla6[],2)</f>
        <v>Cristian Corrales Rosario</v>
      </c>
      <c r="C36" s="212">
        <f>VLOOKUP(Tabla5121022[[#This Row],[No. Exp]],Tabla6[],3)</f>
        <v>96091007562</v>
      </c>
      <c r="D36" s="206">
        <f t="shared" si="3"/>
        <v>192</v>
      </c>
      <c r="E36" s="206">
        <f>VLOOKUP(Tabla5121022[[#This Row],[No. Exp]],Tabla6[],5)</f>
        <v>40.625</v>
      </c>
      <c r="F36" s="206">
        <f>ROUND(Tabla5121022[[#This Row],[Horas Trabajadas]]*Tabla5121022[[#This Row],[Tarifas x horas ]],0)</f>
        <v>7800</v>
      </c>
      <c r="G36" s="207"/>
      <c r="H36" s="210">
        <f>Tabla5121022[[#This Row],[Salario Básico]]+Tabla5121022[[#This Row],[Bonif]]</f>
        <v>7800</v>
      </c>
      <c r="I36" s="213"/>
      <c r="J36" s="209"/>
      <c r="K36" s="207">
        <f>Tabla5121022[[#This Row],[Sal. Dev]]/24*Tabla5121022[[#This Row],[Vacaciones]]</f>
        <v>0</v>
      </c>
      <c r="L36" s="210">
        <f>Tabla5121022[[#This Row],[Sal. Dev]]-Tabla5121022[[#This Row],[Ausencias]]+Tabla5121022[[#This Row],[pago x Vacaciones]]</f>
        <v>7800</v>
      </c>
      <c r="M36" s="206">
        <f>5%*Tabla5121022[[#This Row],[Salario Neto]]</f>
        <v>390</v>
      </c>
      <c r="N36" s="206">
        <f t="shared" si="2"/>
        <v>187.5</v>
      </c>
      <c r="O36" s="206"/>
      <c r="P36" s="210">
        <f>Tabla5121022[[#This Row],[Sal. Dev]]-Tabla5121022[[#This Row],[Ausencias]]+Tabla5121022[[#This Row],[pago x Vacaciones]]-Tabla5121022[[#This Row],[importe Seg Social]]-Tabla5121022[[#This Row],[Imp. Sobr. Ing. Per 3% (3260.00-9510.00)]]</f>
        <v>7222.5</v>
      </c>
      <c r="Q36" s="174"/>
    </row>
    <row r="37" spans="1:17" ht="57" customHeight="1">
      <c r="A37" s="211">
        <v>17</v>
      </c>
      <c r="B37" s="205" t="str">
        <f>VLOOKUP(Tabla5121022[[#This Row],[No. Exp]],Tabla6[],2)</f>
        <v>Rudens  Roberto Borbolla</v>
      </c>
      <c r="C37" s="212">
        <f>VLOOKUP(Tabla5121022[[#This Row],[No. Exp]],Tabla6[],3)</f>
        <v>93050161098</v>
      </c>
      <c r="D37" s="206">
        <f t="shared" si="3"/>
        <v>192</v>
      </c>
      <c r="E37" s="206">
        <f>VLOOKUP(Tabla5121022[[#This Row],[No. Exp]],Tabla6[],5)</f>
        <v>40.625</v>
      </c>
      <c r="F37" s="206">
        <f>ROUND(Tabla5121022[[#This Row],[Horas Trabajadas]]*Tabla5121022[[#This Row],[Tarifas x horas ]],0)</f>
        <v>7800</v>
      </c>
      <c r="G37" s="207"/>
      <c r="H37" s="210">
        <f>Tabla5121022[[#This Row],[Salario Básico]]+Tabla5121022[[#This Row],[Bonif]]</f>
        <v>7800</v>
      </c>
      <c r="I37" s="213"/>
      <c r="J37" s="209">
        <v>10</v>
      </c>
      <c r="K37" s="206">
        <f>Tabla5121022[[#This Row],[Sal. Dev]]/24*Tabla5121022[[#This Row],[Vacaciones]]</f>
        <v>3250</v>
      </c>
      <c r="L37" s="210">
        <f>Tabla5121022[[#This Row],[Sal. Dev]]-Tabla5121022[[#This Row],[Ausencias]]+Tabla5121022[[#This Row],[pago x Vacaciones]]</f>
        <v>11050</v>
      </c>
      <c r="M37" s="206">
        <f>5%*Tabla5121022[[#This Row],[Salario Neto]]</f>
        <v>552.5</v>
      </c>
      <c r="N37" s="206">
        <f t="shared" si="2"/>
        <v>187.5</v>
      </c>
      <c r="O37" s="206">
        <f>(Tabla5121022[[#This Row],[Salario Neto]]-9510)*5%</f>
        <v>77</v>
      </c>
      <c r="P37" s="210">
        <f>Tabla5121022[[#This Row],[Sal. Dev]]-Tabla5121022[[#This Row],[Ausencias]]+Tabla5121022[[#This Row],[pago x Vacaciones]]-Tabla5121022[[#This Row],[importe Seg Social]]-Tabla5121022[[#This Row],[Imp. Sobr. Ing. Per 3% (3260.00-9510.00)]]-Tabla5121022[[#This Row],[Imp. Sobr. Ing. Per 5% (9510.00-15000.00)]]</f>
        <v>10233</v>
      </c>
      <c r="Q37" s="174"/>
    </row>
    <row r="38" spans="1:17" ht="78" customHeight="1">
      <c r="A38" s="211">
        <v>18</v>
      </c>
      <c r="B38" s="205" t="str">
        <f>VLOOKUP(Tabla5121022[[#This Row],[No. Exp]],Tabla6[],2)</f>
        <v>Roliel Rodríguez García</v>
      </c>
      <c r="C38" s="212">
        <f>VLOOKUP(Tabla5121022[[#This Row],[No. Exp]],Tabla6[],3)</f>
        <v>91122226789</v>
      </c>
      <c r="D38" s="206">
        <f t="shared" si="3"/>
        <v>192</v>
      </c>
      <c r="E38" s="206">
        <f>VLOOKUP(Tabla5121022[[#This Row],[No. Exp]],Tabla6[],5)</f>
        <v>40.625</v>
      </c>
      <c r="F38" s="206">
        <f>ROUND(Tabla5121022[[#This Row],[Horas Trabajadas]]*Tabla5121022[[#This Row],[Tarifas x horas ]],0)</f>
        <v>7800</v>
      </c>
      <c r="G38" s="207"/>
      <c r="H38" s="210">
        <f>Tabla5121022[[#This Row],[Salario Básico]]+Tabla5121022[[#This Row],[Bonif]]</f>
        <v>7800</v>
      </c>
      <c r="I38" s="213"/>
      <c r="J38" s="209"/>
      <c r="K38" s="207">
        <f>Tabla5121022[[#This Row],[Sal. Dev]]/24*Tabla5121022[[#This Row],[Vacaciones]]</f>
        <v>0</v>
      </c>
      <c r="L38" s="210">
        <f>Tabla5121022[[#This Row],[Sal. Dev]]-Tabla5121022[[#This Row],[Ausencias]]+Tabla5121022[[#This Row],[pago x Vacaciones]]</f>
        <v>7800</v>
      </c>
      <c r="M38" s="206">
        <f>5%*Tabla5121022[[#This Row],[Salario Neto]]</f>
        <v>390</v>
      </c>
      <c r="N38" s="206">
        <f t="shared" si="2"/>
        <v>187.5</v>
      </c>
      <c r="O38" s="206"/>
      <c r="P38" s="210">
        <f>Tabla5121022[[#This Row],[Sal. Dev]]-Tabla5121022[[#This Row],[Ausencias]]+Tabla5121022[[#This Row],[pago x Vacaciones]]-Tabla5121022[[#This Row],[importe Seg Social]]-Tabla5121022[[#This Row],[Imp. Sobr. Ing. Per 3% (3260.00-9510.00)]]</f>
        <v>7222.5</v>
      </c>
      <c r="Q38" s="174"/>
    </row>
    <row r="39" spans="1:17" ht="66.900000000000006" customHeight="1">
      <c r="A39" s="211">
        <v>19</v>
      </c>
      <c r="B39" s="205" t="str">
        <f>VLOOKUP(Tabla5121022[[#This Row],[No. Exp]],Tabla6[],2)</f>
        <v>Osmandy del Valle Milanés</v>
      </c>
      <c r="C39" s="212">
        <f>VLOOKUP(Tabla5121022[[#This Row],[No. Exp]],Tabla6[],3)</f>
        <v>89123036741</v>
      </c>
      <c r="D39" s="206">
        <f t="shared" si="3"/>
        <v>192</v>
      </c>
      <c r="E39" s="206">
        <f>VLOOKUP(Tabla5121022[[#This Row],[No. Exp]],Tabla6[],5)</f>
        <v>40.625</v>
      </c>
      <c r="F39" s="206">
        <f>ROUND(Tabla5121022[[#This Row],[Horas Trabajadas]]*Tabla5121022[[#This Row],[Tarifas x horas ]],0)</f>
        <v>7800</v>
      </c>
      <c r="G39" s="207"/>
      <c r="H39" s="210">
        <f>Tabla5121022[[#This Row],[Salario Básico]]+Tabla5121022[[#This Row],[Bonif]]</f>
        <v>7800</v>
      </c>
      <c r="I39" s="213"/>
      <c r="J39" s="209"/>
      <c r="K39" s="207">
        <f>Tabla5121022[[#This Row],[Sal. Dev]]/24*Tabla5121022[[#This Row],[Vacaciones]]</f>
        <v>0</v>
      </c>
      <c r="L39" s="210">
        <f>Tabla5121022[[#This Row],[Sal. Dev]]-Tabla5121022[[#This Row],[Ausencias]]+Tabla5121022[[#This Row],[pago x Vacaciones]]</f>
        <v>7800</v>
      </c>
      <c r="M39" s="206">
        <f>5%*Tabla5121022[[#This Row],[Salario Neto]]</f>
        <v>390</v>
      </c>
      <c r="N39" s="206">
        <f t="shared" si="2"/>
        <v>187.5</v>
      </c>
      <c r="O39" s="206"/>
      <c r="P39" s="210">
        <f>Tabla5121022[[#This Row],[Sal. Dev]]-Tabla5121022[[#This Row],[Ausencias]]+Tabla5121022[[#This Row],[pago x Vacaciones]]-Tabla5121022[[#This Row],[importe Seg Social]]-Tabla5121022[[#This Row],[Imp. Sobr. Ing. Per 3% (3260.00-9510.00)]]</f>
        <v>7222.5</v>
      </c>
      <c r="Q39" s="174"/>
    </row>
    <row r="40" spans="1:17" ht="62.15" customHeight="1">
      <c r="A40" s="211">
        <v>20</v>
      </c>
      <c r="B40" s="205" t="str">
        <f>VLOOKUP(Tabla5121022[[#This Row],[No. Exp]],Tabla6[],2)</f>
        <v>René Acosta Cruz</v>
      </c>
      <c r="C40" s="212" t="str">
        <f>VLOOKUP(Tabla5121022[[#This Row],[No. Exp]],Tabla6[],3)</f>
        <v>89082821885</v>
      </c>
      <c r="D40" s="206">
        <f t="shared" si="3"/>
        <v>192</v>
      </c>
      <c r="E40" s="206">
        <f>VLOOKUP(Tabla5121022[[#This Row],[No. Exp]],Tabla6[],5)</f>
        <v>40.625</v>
      </c>
      <c r="F40" s="206">
        <f>ROUND(Tabla5121022[[#This Row],[Horas Trabajadas]]*Tabla5121022[[#This Row],[Tarifas x horas ]],0)</f>
        <v>7800</v>
      </c>
      <c r="G40" s="207"/>
      <c r="H40" s="210">
        <f>Tabla5121022[[#This Row],[Salario Básico]]+Tabla5121022[[#This Row],[Bonif]]</f>
        <v>7800</v>
      </c>
      <c r="I40" s="213"/>
      <c r="J40" s="209"/>
      <c r="K40" s="207">
        <f>Tabla5121022[[#This Row],[Sal. Dev]]/24*Tabla5121022[[#This Row],[Vacaciones]]</f>
        <v>0</v>
      </c>
      <c r="L40" s="210">
        <f>Tabla5121022[[#This Row],[Sal. Dev]]-Tabla5121022[[#This Row],[Ausencias]]+Tabla5121022[[#This Row],[pago x Vacaciones]]</f>
        <v>7800</v>
      </c>
      <c r="M40" s="206">
        <f>5%*Tabla5121022[[#This Row],[Salario Neto]]</f>
        <v>390</v>
      </c>
      <c r="N40" s="206">
        <f t="shared" si="2"/>
        <v>187.5</v>
      </c>
      <c r="O40" s="206"/>
      <c r="P40" s="210">
        <f>Tabla5121022[[#This Row],[Sal. Dev]]-Tabla5121022[[#This Row],[Ausencias]]+Tabla5121022[[#This Row],[pago x Vacaciones]]-Tabla5121022[[#This Row],[importe Seg Social]]-Tabla5121022[[#This Row],[Imp. Sobr. Ing. Per 3% (3260.00-9510.00)]]</f>
        <v>7222.5</v>
      </c>
      <c r="Q40" s="174"/>
    </row>
    <row r="41" spans="1:17" ht="73.3" customHeight="1">
      <c r="A41" s="211">
        <v>25</v>
      </c>
      <c r="B41" s="205" t="str">
        <f>VLOOKUP(Tabla5121022[[#This Row],[No. Exp]],Tabla6[],2)</f>
        <v>Pedro Emilio Robaina Morales</v>
      </c>
      <c r="C41" s="212" t="str">
        <f>VLOOKUP(Tabla5121022[[#This Row],[No. Exp]],Tabla6[],3)</f>
        <v>02021968481</v>
      </c>
      <c r="D41" s="206">
        <f>D39</f>
        <v>192</v>
      </c>
      <c r="E41" s="206">
        <f>VLOOKUP(Tabla5121022[[#This Row],[No. Exp]],Tabla6[],5)</f>
        <v>40.625</v>
      </c>
      <c r="F41" s="206">
        <f>ROUND(Tabla5121022[[#This Row],[Horas Trabajadas]]*Tabla5121022[[#This Row],[Tarifas x horas ]],0)</f>
        <v>7800</v>
      </c>
      <c r="G41" s="207"/>
      <c r="H41" s="210">
        <f>Tabla5121022[[#This Row],[Salario Básico]]+Tabla5121022[[#This Row],[Bonif]]</f>
        <v>7800</v>
      </c>
      <c r="I41" s="213"/>
      <c r="J41" s="209"/>
      <c r="K41" s="207">
        <f>Tabla5121022[[#This Row],[Sal. Dev]]/24*Tabla5121022[[#This Row],[Vacaciones]]</f>
        <v>0</v>
      </c>
      <c r="L41" s="210">
        <f>Tabla5121022[[#This Row],[Sal. Dev]]-Tabla5121022[[#This Row],[Ausencias]]+Tabla5121022[[#This Row],[pago x Vacaciones]]</f>
        <v>7800</v>
      </c>
      <c r="M41" s="206">
        <f>5%*Tabla5121022[[#This Row],[Salario Neto]]</f>
        <v>390</v>
      </c>
      <c r="N41" s="206">
        <f t="shared" si="2"/>
        <v>187.5</v>
      </c>
      <c r="O41" s="206"/>
      <c r="P41" s="210">
        <f>Tabla5121022[[#This Row],[Sal. Dev]]-Tabla5121022[[#This Row],[Ausencias]]+Tabla5121022[[#This Row],[pago x Vacaciones]]-Tabla5121022[[#This Row],[importe Seg Social]]-Tabla5121022[[#This Row],[Imp. Sobr. Ing. Per 3% (3260.00-9510.00)]]</f>
        <v>7222.5</v>
      </c>
      <c r="Q41" s="174"/>
    </row>
    <row r="42" spans="1:17" ht="83.6" customHeight="1">
      <c r="A42" s="211">
        <v>27</v>
      </c>
      <c r="B42" s="205" t="str">
        <f>VLOOKUP(Tabla5121022[[#This Row],[No. Exp]],Tabla6[],2)</f>
        <v>Exsuan José Carvajal</v>
      </c>
      <c r="C42" s="212" t="str">
        <f>VLOOKUP(Tabla5121022[[#This Row],[No. Exp]],Tabla6[],3)</f>
        <v>97031207088</v>
      </c>
      <c r="D42" s="206">
        <f>D41</f>
        <v>192</v>
      </c>
      <c r="E42" s="206">
        <f>VLOOKUP(Tabla5121022[[#This Row],[No. Exp]],Tabla6[],5)</f>
        <v>40.625</v>
      </c>
      <c r="F42" s="206">
        <f>ROUND(Tabla5121022[[#This Row],[Horas Trabajadas]]*Tabla5121022[[#This Row],[Tarifas x horas ]],0)</f>
        <v>7800</v>
      </c>
      <c r="G42" s="207"/>
      <c r="H42" s="210">
        <f>Tabla5121022[[#This Row],[Salario Básico]]+Tabla5121022[[#This Row],[Bonif]]</f>
        <v>7800</v>
      </c>
      <c r="I42" s="213"/>
      <c r="J42" s="209"/>
      <c r="K42" s="207">
        <f>Tabla5121022[[#This Row],[Sal. Dev]]/24*Tabla5121022[[#This Row],[Vacaciones]]</f>
        <v>0</v>
      </c>
      <c r="L42" s="210">
        <f>Tabla5121022[[#This Row],[Sal. Dev]]-Tabla5121022[[#This Row],[Ausencias]]+Tabla5121022[[#This Row],[pago x Vacaciones]]</f>
        <v>7800</v>
      </c>
      <c r="M42" s="206">
        <f>5%*Tabla5121022[[#This Row],[Salario Neto]]</f>
        <v>390</v>
      </c>
      <c r="N42" s="206">
        <f t="shared" si="2"/>
        <v>187.5</v>
      </c>
      <c r="O42" s="206"/>
      <c r="P42" s="210">
        <f>Tabla5121022[[#This Row],[Sal. Dev]]-Tabla5121022[[#This Row],[Ausencias]]+Tabla5121022[[#This Row],[pago x Vacaciones]]-Tabla5121022[[#This Row],[importe Seg Social]]-Tabla5121022[[#This Row],[Imp. Sobr. Ing. Per 3% (3260.00-9510.00)]]</f>
        <v>7222.5</v>
      </c>
      <c r="Q42" s="174"/>
    </row>
    <row r="43" spans="1:17" ht="64.3" customHeight="1">
      <c r="A43" s="211">
        <v>28</v>
      </c>
      <c r="B43" s="205" t="str">
        <f>VLOOKUP(Tabla5121022[[#This Row],[No. Exp]],Tabla6[],2)</f>
        <v>Nestor Suárez Martínez</v>
      </c>
      <c r="C43" s="212" t="str">
        <f>VLOOKUP(Tabla5121022[[#This Row],[No. Exp]],Tabla6[],3)</f>
        <v>92102030581</v>
      </c>
      <c r="D43" s="206">
        <f>D42</f>
        <v>192</v>
      </c>
      <c r="E43" s="206">
        <f>VLOOKUP(Tabla5121022[[#This Row],[No. Exp]],Tabla6[],5)</f>
        <v>40.625</v>
      </c>
      <c r="F43" s="206">
        <f>ROUND(Tabla5121022[[#This Row],[Horas Trabajadas]]*Tabla5121022[[#This Row],[Tarifas x horas ]],0)</f>
        <v>7800</v>
      </c>
      <c r="G43" s="207"/>
      <c r="H43" s="210">
        <f>Tabla5121022[[#This Row],[Salario Básico]]+Tabla5121022[[#This Row],[Bonif]]</f>
        <v>7800</v>
      </c>
      <c r="I43" s="213"/>
      <c r="J43" s="209"/>
      <c r="K43" s="207">
        <f>Tabla5121022[[#This Row],[Sal. Dev]]/24*Tabla5121022[[#This Row],[Vacaciones]]</f>
        <v>0</v>
      </c>
      <c r="L43" s="210">
        <f>Tabla5121022[[#This Row],[Sal. Dev]]-Tabla5121022[[#This Row],[Ausencias]]+Tabla5121022[[#This Row],[pago x Vacaciones]]</f>
        <v>7800</v>
      </c>
      <c r="M43" s="206">
        <f>5%*Tabla5121022[[#This Row],[Salario Neto]]</f>
        <v>390</v>
      </c>
      <c r="N43" s="206">
        <f t="shared" si="2"/>
        <v>187.5</v>
      </c>
      <c r="O43" s="206"/>
      <c r="P43" s="210">
        <f>Tabla5121022[[#This Row],[Sal. Dev]]-Tabla5121022[[#This Row],[Ausencias]]+Tabla5121022[[#This Row],[pago x Vacaciones]]-Tabla5121022[[#This Row],[importe Seg Social]]-Tabla5121022[[#This Row],[Imp. Sobr. Ing. Per 3% (3260.00-9510.00)]]</f>
        <v>7222.5</v>
      </c>
      <c r="Q43" s="174"/>
    </row>
    <row r="44" spans="1:17" ht="55.75" customHeight="1">
      <c r="A44" s="211">
        <v>29</v>
      </c>
      <c r="B44" s="205" t="str">
        <f>VLOOKUP(Tabla5121022[[#This Row],[No. Exp]],Tabla6[],2)</f>
        <v>Rafael Arias Aldana</v>
      </c>
      <c r="C44" s="212" t="str">
        <f>VLOOKUP(Tabla5121022[[#This Row],[No. Exp]],Tabla6[],3)</f>
        <v>99120607402</v>
      </c>
      <c r="D44" s="206">
        <f t="shared" ref="D44" si="4">D42</f>
        <v>192</v>
      </c>
      <c r="E44" s="206">
        <f>VLOOKUP(Tabla5121022[[#This Row],[No. Exp]],Tabla6[],5)</f>
        <v>40.625</v>
      </c>
      <c r="F44" s="206">
        <f>ROUND(Tabla5121022[[#This Row],[Horas Trabajadas]]*Tabla5121022[[#This Row],[Tarifas x horas ]],0)</f>
        <v>7800</v>
      </c>
      <c r="G44" s="207"/>
      <c r="H44" s="210">
        <f>Tabla5121022[[#This Row],[Salario Básico]]+Tabla5121022[[#This Row],[Bonif]]</f>
        <v>7800</v>
      </c>
      <c r="I44" s="213"/>
      <c r="J44" s="209"/>
      <c r="K44" s="207">
        <f>Tabla5121022[[#This Row],[Sal. Dev]]/24*Tabla5121022[[#This Row],[Vacaciones]]</f>
        <v>0</v>
      </c>
      <c r="L44" s="210">
        <f>Tabla5121022[[#This Row],[Sal. Dev]]-Tabla5121022[[#This Row],[Ausencias]]+Tabla5121022[[#This Row],[pago x Vacaciones]]</f>
        <v>7800</v>
      </c>
      <c r="M44" s="206">
        <f>5%*Tabla5121022[[#This Row],[Salario Neto]]</f>
        <v>390</v>
      </c>
      <c r="N44" s="206">
        <f t="shared" si="2"/>
        <v>187.5</v>
      </c>
      <c r="O44" s="206"/>
      <c r="P44" s="210">
        <f>Tabla5121022[[#This Row],[Sal. Dev]]-Tabla5121022[[#This Row],[Ausencias]]+Tabla5121022[[#This Row],[pago x Vacaciones]]-Tabla5121022[[#This Row],[importe Seg Social]]-Tabla5121022[[#This Row],[Imp. Sobr. Ing. Per 3% (3260.00-9510.00)]]</f>
        <v>7222.5</v>
      </c>
      <c r="Q44" s="174"/>
    </row>
    <row r="45" spans="1:17" ht="60.45" customHeight="1">
      <c r="A45" s="211">
        <v>94</v>
      </c>
      <c r="B45" s="280" t="str">
        <f>VLOOKUP(Tabla5121022[[#This Row],[No. Exp]],Tabla6[],2)</f>
        <v>Morganti Sollet Matos</v>
      </c>
      <c r="C45" s="211" t="str">
        <f>VLOOKUP(Tabla5121022[[#This Row],[No. Exp]],Tabla6[],3)</f>
        <v>02111067446</v>
      </c>
      <c r="D45" s="281">
        <v>192</v>
      </c>
      <c r="E45" s="206">
        <f>VLOOKUP(Tabla5121022[[#This Row],[No. Exp]],Tabla6[],5)</f>
        <v>40.625</v>
      </c>
      <c r="F45" s="281">
        <f>ROUND(Tabla5121022[[#This Row],[Horas Trabajadas]]*Tabla5121022[[#This Row],[Tarifas x horas ]],0)</f>
        <v>7800</v>
      </c>
      <c r="G45" s="213"/>
      <c r="H45" s="388">
        <f>Tabla5121022[[#This Row],[Salario Básico]]+Tabla5121022[[#This Row],[Bonif]]</f>
        <v>7800</v>
      </c>
      <c r="I45" s="213"/>
      <c r="J45" s="209">
        <v>6</v>
      </c>
      <c r="K45" s="206">
        <f>Tabla5121022[[#This Row],[Sal. Dev]]/24*Tabla5121022[[#This Row],[Vacaciones]]</f>
        <v>1950</v>
      </c>
      <c r="L45" s="210">
        <f>Tabla5121022[[#This Row],[Sal. Dev]]-Tabla5121022[[#This Row],[Ausencias]]+Tabla5121022[[#This Row],[pago x Vacaciones]]</f>
        <v>9750</v>
      </c>
      <c r="M45" s="206">
        <f>5%*Tabla5121022[[#This Row],[Salario Neto]]</f>
        <v>487.5</v>
      </c>
      <c r="N45" s="206">
        <f t="shared" si="2"/>
        <v>187.5</v>
      </c>
      <c r="O45" s="206">
        <f>(Tabla5121022[[#This Row],[Salario Neto]]-9510)*5%</f>
        <v>12</v>
      </c>
      <c r="P45" s="210">
        <f>Tabla5121022[[#This Row],[Sal. Dev]]-Tabla5121022[[#This Row],[Ausencias]]+Tabla5121022[[#This Row],[pago x Vacaciones]]-Tabla5121022[[#This Row],[importe Seg Social]]-Tabla5121022[[#This Row],[Imp. Sobr. Ing. Per 3% (3260.00-9510.00)]]-Tabla5121022[[#This Row],[Imp. Sobr. Ing. Per 5% (9510.00-15000.00)]]</f>
        <v>9063</v>
      </c>
      <c r="Q45" s="174"/>
    </row>
    <row r="46" spans="1:17" ht="71.150000000000006" customHeight="1">
      <c r="A46" s="211">
        <v>95</v>
      </c>
      <c r="B46" s="280" t="str">
        <f>VLOOKUP(Tabla5121022[[#This Row],[No. Exp]],Tabla6[],2)</f>
        <v>Favio Alameda Cuevas</v>
      </c>
      <c r="C46" s="211">
        <f>VLOOKUP(Tabla5121022[[#This Row],[No. Exp]],Tabla6[],3)</f>
        <v>96113009646</v>
      </c>
      <c r="D46" s="281">
        <v>192</v>
      </c>
      <c r="E46" s="206">
        <f>VLOOKUP(Tabla5121022[[#This Row],[No. Exp]],Tabla6[],5)</f>
        <v>40.625</v>
      </c>
      <c r="F46" s="281">
        <f>ROUND(Tabla5121022[[#This Row],[Horas Trabajadas]]*Tabla5121022[[#This Row],[Tarifas x horas ]],0)</f>
        <v>7800</v>
      </c>
      <c r="G46" s="213"/>
      <c r="H46" s="388">
        <f>Tabla5121022[[#This Row],[Salario Básico]]+Tabla5121022[[#This Row],[Bonif]]</f>
        <v>7800</v>
      </c>
      <c r="I46" s="213"/>
      <c r="J46" s="209"/>
      <c r="K46" s="207">
        <f>Tabla5121022[[#This Row],[Sal. Dev]]/24*Tabla5121022[[#This Row],[Vacaciones]]</f>
        <v>0</v>
      </c>
      <c r="L46" s="210">
        <f>Tabla5121022[[#This Row],[Sal. Dev]]-Tabla5121022[[#This Row],[Ausencias]]+Tabla5121022[[#This Row],[pago x Vacaciones]]</f>
        <v>7800</v>
      </c>
      <c r="M46" s="206">
        <f>5%*Tabla5121022[[#This Row],[Salario Neto]]</f>
        <v>390</v>
      </c>
      <c r="N46" s="206">
        <f t="shared" si="2"/>
        <v>187.5</v>
      </c>
      <c r="O46" s="206"/>
      <c r="P46" s="210">
        <f>Tabla5121022[[#This Row],[Sal. Dev]]-Tabla5121022[[#This Row],[Ausencias]]+Tabla5121022[[#This Row],[pago x Vacaciones]]-Tabla5121022[[#This Row],[importe Seg Social]]-Tabla5121022[[#This Row],[Imp. Sobr. Ing. Per 3% (3260.00-9510.00)]]</f>
        <v>7222.5</v>
      </c>
      <c r="Q46" s="174"/>
    </row>
    <row r="47" spans="1:17" ht="71.150000000000006" customHeight="1">
      <c r="A47" s="204">
        <v>108</v>
      </c>
      <c r="B47" s="205" t="str">
        <f>VLOOKUP(Tabla5121022[[#This Row],[No. Exp]],Tabla6[],2)</f>
        <v xml:space="preserve">Enmanuel Oscar Fonseca Heredia  </v>
      </c>
      <c r="C47" s="212">
        <f>VLOOKUP(Tabla5121022[[#This Row],[No. Exp]],Tabla6[],3)</f>
        <v>87110730906</v>
      </c>
      <c r="D47" s="206">
        <v>192</v>
      </c>
      <c r="E47" s="206">
        <f>VLOOKUP(Tabla5121022[[#This Row],[No. Exp]],Tabla6[],5)</f>
        <v>40.625</v>
      </c>
      <c r="F47" s="206">
        <f>ROUND(Tabla5121022[[#This Row],[Horas Trabajadas]]*Tabla5121022[[#This Row],[Tarifas x horas ]],0)</f>
        <v>7800</v>
      </c>
      <c r="G47" s="207"/>
      <c r="H47" s="210">
        <f>Tabla5121022[[#This Row],[Salario Básico]]+Tabla5121022[[#This Row],[Bonif]]</f>
        <v>7800</v>
      </c>
      <c r="I47" s="213"/>
      <c r="J47" s="209"/>
      <c r="K47" s="207">
        <f>Tabla5121022[[#This Row],[Sal. Dev]]/24*Tabla5121022[[#This Row],[Vacaciones]]</f>
        <v>0</v>
      </c>
      <c r="L47" s="388">
        <f>Tabla5121022[[#This Row],[Sal. Dev]]-Tabla5121022[[#This Row],[Ausencias]]+Tabla5121022[[#This Row],[pago x Vacaciones]]</f>
        <v>7800</v>
      </c>
      <c r="M47" s="281">
        <f>5%*Tabla5121022[[#This Row],[Salario Neto]]</f>
        <v>390</v>
      </c>
      <c r="N47" s="206">
        <f t="shared" si="2"/>
        <v>187.5</v>
      </c>
      <c r="O47" s="206"/>
      <c r="P47" s="388">
        <f>Tabla5121022[[#This Row],[Sal. Dev]]-Tabla5121022[[#This Row],[Ausencias]]+Tabla5121022[[#This Row],[pago x Vacaciones]]-Tabla5121022[[#This Row],[importe Seg Social]]-Tabla5121022[[#This Row],[Imp. Sobr. Ing. Per 3% (3260.00-9510.00)]]</f>
        <v>7222.5</v>
      </c>
      <c r="Q47" s="174"/>
    </row>
    <row r="48" spans="1:17" ht="75" customHeight="1">
      <c r="A48" s="204">
        <v>117</v>
      </c>
      <c r="B48" s="205" t="str">
        <f>VLOOKUP(Tabla5121022[[#This Row],[No. Exp]],Tabla6[],2)</f>
        <v xml:space="preserve">Omar Soler Menéndez </v>
      </c>
      <c r="C48" s="212">
        <f>VLOOKUP(Tabla5121022[[#This Row],[No. Exp]],Tabla6[],3)</f>
        <v>93080832509</v>
      </c>
      <c r="D48" s="206">
        <v>192</v>
      </c>
      <c r="E48" s="206">
        <f>VLOOKUP(Tabla5121022[[#This Row],[No. Exp]],Tabla6[],5)</f>
        <v>40.625</v>
      </c>
      <c r="F48" s="206">
        <f>ROUND(Tabla5121022[[#This Row],[Horas Trabajadas]]*Tabla5121022[[#This Row],[Tarifas x horas ]],0)</f>
        <v>7800</v>
      </c>
      <c r="G48" s="207"/>
      <c r="H48" s="210">
        <f>Tabla5121022[[#This Row],[Salario Básico]]+Tabla5121022[[#This Row],[Bonif]]</f>
        <v>7800</v>
      </c>
      <c r="I48" s="213"/>
      <c r="J48" s="209"/>
      <c r="K48" s="207">
        <f>Tabla5121022[[#This Row],[Sal. Dev]]/24*Tabla5121022[[#This Row],[Vacaciones]]</f>
        <v>0</v>
      </c>
      <c r="L48" s="388">
        <f>Tabla5121022[[#This Row],[Sal. Dev]]-Tabla5121022[[#This Row],[Ausencias]]+Tabla5121022[[#This Row],[pago x Vacaciones]]</f>
        <v>7800</v>
      </c>
      <c r="M48" s="281">
        <f>5%*Tabla5121022[[#This Row],[Salario Neto]]</f>
        <v>390</v>
      </c>
      <c r="N48" s="206">
        <f t="shared" si="2"/>
        <v>187.5</v>
      </c>
      <c r="O48" s="206"/>
      <c r="P48" s="388">
        <f>Tabla5121022[[#This Row],[Sal. Dev]]-Tabla5121022[[#This Row],[Ausencias]]+Tabla5121022[[#This Row],[pago x Vacaciones]]-Tabla5121022[[#This Row],[importe Seg Social]]-Tabla5121022[[#This Row],[Imp. Sobr. Ing. Per 3% (3260.00-9510.00)]]</f>
        <v>7222.5</v>
      </c>
      <c r="Q48" s="174"/>
    </row>
    <row r="49" spans="1:17" ht="78.900000000000006" customHeight="1">
      <c r="A49" s="204">
        <v>120</v>
      </c>
      <c r="B49" s="205" t="str">
        <f>VLOOKUP(Tabla5121022[[#This Row],[No. Exp]],Tabla6[],2)</f>
        <v>Victor Damián Quesada Mojena</v>
      </c>
      <c r="C49" s="212">
        <f>VLOOKUP(Tabla5121022[[#This Row],[No. Exp]],Tabla6[],3)</f>
        <v>88012805789</v>
      </c>
      <c r="D49" s="206">
        <v>192</v>
      </c>
      <c r="E49" s="206">
        <f>VLOOKUP(Tabla5121022[[#This Row],[No. Exp]],Tabla6[],5)</f>
        <v>40.625</v>
      </c>
      <c r="F49" s="206">
        <f>ROUND(Tabla5121022[[#This Row],[Horas Trabajadas]]*Tabla5121022[[#This Row],[Tarifas x horas ]],0)</f>
        <v>7800</v>
      </c>
      <c r="G49" s="207"/>
      <c r="H49" s="210">
        <f>Tabla5121022[[#This Row],[Salario Básico]]+Tabla5121022[[#This Row],[Bonif]]</f>
        <v>7800</v>
      </c>
      <c r="I49" s="213"/>
      <c r="J49" s="209"/>
      <c r="K49" s="207">
        <f>Tabla5121022[[#This Row],[Sal. Dev]]/24*Tabla5121022[[#This Row],[Vacaciones]]</f>
        <v>0</v>
      </c>
      <c r="L49" s="388">
        <f>Tabla5121022[[#This Row],[Sal. Dev]]-Tabla5121022[[#This Row],[Ausencias]]+Tabla5121022[[#This Row],[pago x Vacaciones]]</f>
        <v>7800</v>
      </c>
      <c r="M49" s="281">
        <f>5%*Tabla5121022[[#This Row],[Salario Neto]]</f>
        <v>390</v>
      </c>
      <c r="N49" s="206">
        <f t="shared" si="2"/>
        <v>187.5</v>
      </c>
      <c r="O49" s="206"/>
      <c r="P49" s="388">
        <f>Tabla5121022[[#This Row],[Sal. Dev]]-Tabla5121022[[#This Row],[Ausencias]]+Tabla5121022[[#This Row],[pago x Vacaciones]]-Tabla5121022[[#This Row],[importe Seg Social]]-Tabla5121022[[#This Row],[Imp. Sobr. Ing. Per 3% (3260.00-9510.00)]]</f>
        <v>7222.5</v>
      </c>
      <c r="Q49" s="174"/>
    </row>
    <row r="50" spans="1:17" ht="73.75" customHeight="1">
      <c r="A50" s="204">
        <v>123</v>
      </c>
      <c r="B50" s="205" t="str">
        <f>VLOOKUP(Tabla5121022[[#This Row],[No. Exp]],Tabla6[],2)</f>
        <v>Erick De León Pedroso</v>
      </c>
      <c r="C50" s="212">
        <f>VLOOKUP(Tabla5121022[[#This Row],[No. Exp]],Tabla6[],3)</f>
        <v>91051527860</v>
      </c>
      <c r="D50" s="206">
        <v>192</v>
      </c>
      <c r="E50" s="206">
        <f>VLOOKUP(Tabla5121022[[#This Row],[No. Exp]],Tabla6[],5)</f>
        <v>40.625</v>
      </c>
      <c r="F50" s="206">
        <f>ROUND(Tabla5121022[[#This Row],[Horas Trabajadas]]*Tabla5121022[[#This Row],[Tarifas x horas ]],0)</f>
        <v>7800</v>
      </c>
      <c r="G50" s="207"/>
      <c r="H50" s="210">
        <f>Tabla5121022[[#This Row],[Salario Básico]]+Tabla5121022[[#This Row],[Bonif]]</f>
        <v>7800</v>
      </c>
      <c r="I50" s="213"/>
      <c r="J50" s="209"/>
      <c r="K50" s="207">
        <f>Tabla5121022[[#This Row],[Sal. Dev]]/24*Tabla5121022[[#This Row],[Vacaciones]]</f>
        <v>0</v>
      </c>
      <c r="L50" s="388">
        <f>Tabla5121022[[#This Row],[Sal. Dev]]-Tabla5121022[[#This Row],[Ausencias]]+Tabla5121022[[#This Row],[pago x Vacaciones]]</f>
        <v>7800</v>
      </c>
      <c r="M50" s="281">
        <f>5%*Tabla5121022[[#This Row],[Salario Neto]]</f>
        <v>390</v>
      </c>
      <c r="N50" s="206">
        <f t="shared" si="2"/>
        <v>187.5</v>
      </c>
      <c r="O50" s="206"/>
      <c r="P50" s="388">
        <f>Tabla5121022[[#This Row],[Sal. Dev]]-Tabla5121022[[#This Row],[Ausencias]]+Tabla5121022[[#This Row],[pago x Vacaciones]]-Tabla5121022[[#This Row],[importe Seg Social]]-Tabla5121022[[#This Row],[Imp. Sobr. Ing. Per 3% (3260.00-9510.00)]]</f>
        <v>7222.5</v>
      </c>
      <c r="Q50" s="174"/>
    </row>
    <row r="51" spans="1:17" ht="94.3" customHeight="1">
      <c r="A51" s="204">
        <v>111</v>
      </c>
      <c r="B51" s="205" t="str">
        <f>VLOOKUP(Tabla5121022[[#This Row],[No. Exp]],Tabla6[],2)</f>
        <v>Cristhian Camilo Cruz Napoles</v>
      </c>
      <c r="C51" s="212" t="str">
        <f>VLOOKUP(Tabla5121022[[#This Row],[No. Exp]],Tabla6[],3)</f>
        <v>01092576745</v>
      </c>
      <c r="D51" s="206">
        <v>192</v>
      </c>
      <c r="E51" s="206">
        <f>VLOOKUP(Tabla5121022[[#This Row],[No. Exp]],Tabla6[],5)</f>
        <v>40.625</v>
      </c>
      <c r="F51" s="206">
        <f>ROUND(Tabla5121022[[#This Row],[Horas Trabajadas]]*Tabla5121022[[#This Row],[Tarifas x horas ]],0)</f>
        <v>7800</v>
      </c>
      <c r="G51" s="207"/>
      <c r="H51" s="210">
        <f>Tabla5121022[[#This Row],[Salario Básico]]+Tabla5121022[[#This Row],[Bonif]]</f>
        <v>7800</v>
      </c>
      <c r="I51" s="213"/>
      <c r="J51" s="209"/>
      <c r="K51" s="207">
        <f>Tabla5121022[[#This Row],[Sal. Dev]]/24*Tabla5121022[[#This Row],[Vacaciones]]</f>
        <v>0</v>
      </c>
      <c r="L51" s="388">
        <f>Tabla5121022[[#This Row],[Sal. Dev]]-Tabla5121022[[#This Row],[Ausencias]]+Tabla5121022[[#This Row],[pago x Vacaciones]]</f>
        <v>7800</v>
      </c>
      <c r="M51" s="281">
        <f>5%*Tabla5121022[[#This Row],[Salario Neto]]</f>
        <v>390</v>
      </c>
      <c r="N51" s="206">
        <f t="shared" si="2"/>
        <v>187.5</v>
      </c>
      <c r="O51" s="206"/>
      <c r="P51" s="388">
        <f>Tabla5121022[[#This Row],[Sal. Dev]]-Tabla5121022[[#This Row],[Ausencias]]+Tabla5121022[[#This Row],[pago x Vacaciones]]-Tabla5121022[[#This Row],[importe Seg Social]]-Tabla5121022[[#This Row],[Imp. Sobr. Ing. Per 3% (3260.00-9510.00)]]</f>
        <v>7222.5</v>
      </c>
      <c r="Q51" s="174"/>
    </row>
    <row r="52" spans="1:17" ht="99.9" customHeight="1">
      <c r="A52" s="204">
        <v>109</v>
      </c>
      <c r="B52" s="205" t="str">
        <f>VLOOKUP(Tabla5121022[[#This Row],[No. Exp]],Tabla6[],2)</f>
        <v>Cristian David Pantaleón Averhoff</v>
      </c>
      <c r="C52" s="212" t="str">
        <f>VLOOKUP(Tabla5121022[[#This Row],[No. Exp]],Tabla6[],3)</f>
        <v>05042178048</v>
      </c>
      <c r="D52" s="206">
        <v>192</v>
      </c>
      <c r="E52" s="206">
        <f>VLOOKUP(Tabla5121022[[#This Row],[No. Exp]],Tabla6[],5)</f>
        <v>40.625</v>
      </c>
      <c r="F52" s="206">
        <f>ROUND(Tabla5121022[[#This Row],[Horas Trabajadas]]*Tabla5121022[[#This Row],[Tarifas x horas ]],0)</f>
        <v>7800</v>
      </c>
      <c r="G52" s="207"/>
      <c r="H52" s="210">
        <f>Tabla5121022[[#This Row],[Salario Básico]]+Tabla5121022[[#This Row],[Bonif]]</f>
        <v>7800</v>
      </c>
      <c r="I52" s="213"/>
      <c r="J52" s="209"/>
      <c r="K52" s="207"/>
      <c r="L52" s="388">
        <f>Tabla5121022[[#This Row],[Sal. Dev]]-Tabla5121022[[#This Row],[Ausencias]]+Tabla5121022[[#This Row],[pago x Vacaciones]]</f>
        <v>7800</v>
      </c>
      <c r="M52" s="281">
        <f>5%*Tabla5121022[[#This Row],[Salario Neto]]</f>
        <v>390</v>
      </c>
      <c r="N52" s="281">
        <f>(9510-3260)*3%</f>
        <v>187.5</v>
      </c>
      <c r="O52" s="206"/>
      <c r="P52" s="388">
        <f>Tabla5121022[[#This Row],[Sal. Dev]]-Tabla5121022[[#This Row],[Ausencias]]+Tabla5121022[[#This Row],[pago x Vacaciones]]-Tabla5121022[[#This Row],[importe Seg Social]]-Tabla5121022[[#This Row],[Imp. Sobr. Ing. Per 3% (3260.00-9510.00)]]</f>
        <v>7222.5</v>
      </c>
      <c r="Q52" s="174"/>
    </row>
    <row r="53" spans="1:17" ht="32.6">
      <c r="A53" s="200"/>
      <c r="B53" s="201"/>
      <c r="C53" s="203"/>
      <c r="D53" s="261"/>
      <c r="E53" s="261"/>
      <c r="F53" s="200"/>
      <c r="G53" s="200"/>
      <c r="H53" s="262"/>
      <c r="I53" s="202"/>
      <c r="J53" s="263"/>
      <c r="K53" s="200"/>
      <c r="L53" s="264"/>
      <c r="M53" s="202"/>
      <c r="N53" s="261"/>
      <c r="O53" s="265"/>
      <c r="P53" s="202"/>
      <c r="Q53" s="174"/>
    </row>
    <row r="54" spans="1:17">
      <c r="A54" s="193"/>
      <c r="B54" s="194"/>
      <c r="C54" s="193"/>
      <c r="D54" s="195"/>
      <c r="E54" s="174"/>
      <c r="F54" s="174"/>
      <c r="G54" s="193"/>
      <c r="H54" s="186"/>
      <c r="I54" s="193"/>
      <c r="J54" s="180"/>
      <c r="K54" s="188"/>
      <c r="L54" s="192"/>
      <c r="M54" s="188"/>
      <c r="N54" s="191"/>
      <c r="O54" s="196"/>
      <c r="P54" s="174"/>
      <c r="Q54" s="174"/>
    </row>
    <row r="55" spans="1:17">
      <c r="A55" s="193"/>
      <c r="B55" s="194"/>
      <c r="C55" s="193"/>
      <c r="D55" s="195"/>
      <c r="E55" s="174"/>
      <c r="F55" s="174"/>
      <c r="G55" s="193"/>
      <c r="H55" s="186"/>
      <c r="I55" s="193"/>
      <c r="J55" s="180"/>
      <c r="K55" s="188"/>
      <c r="L55" s="192"/>
      <c r="M55" s="188"/>
      <c r="N55" s="191"/>
      <c r="O55" s="196"/>
      <c r="P55" s="174"/>
      <c r="Q55" s="174"/>
    </row>
    <row r="56" spans="1:17">
      <c r="A56" s="155"/>
      <c r="B56" s="153"/>
      <c r="C56" s="155"/>
      <c r="D56" s="156"/>
      <c r="G56" s="155"/>
      <c r="H56" s="144"/>
      <c r="I56" s="155"/>
      <c r="J56" s="143"/>
      <c r="K56" s="148"/>
      <c r="L56" s="157"/>
      <c r="M56" s="148"/>
      <c r="N56" s="149"/>
      <c r="O56" s="151"/>
    </row>
    <row r="57" spans="1:17">
      <c r="A57" s="155"/>
      <c r="B57" s="153"/>
      <c r="C57" s="155"/>
      <c r="D57" s="156"/>
      <c r="G57" s="155"/>
      <c r="H57" s="144"/>
      <c r="I57" s="155"/>
      <c r="J57" s="143"/>
      <c r="K57" s="148"/>
      <c r="L57" s="157"/>
      <c r="M57" s="148"/>
      <c r="N57" s="149"/>
      <c r="O57" s="151"/>
    </row>
    <row r="58" spans="1:17">
      <c r="A58" s="155"/>
      <c r="C58" s="155"/>
      <c r="D58" s="156"/>
      <c r="G58" s="155"/>
      <c r="H58" s="144"/>
      <c r="I58" s="155"/>
      <c r="J58" s="143"/>
      <c r="K58" s="148"/>
      <c r="L58" s="157"/>
      <c r="M58" s="148"/>
      <c r="N58" s="149"/>
      <c r="O58" s="151"/>
    </row>
    <row r="59" spans="1:17" ht="33.450000000000003">
      <c r="A59" s="155"/>
      <c r="B59" s="167"/>
      <c r="C59" s="155"/>
      <c r="D59" s="156"/>
      <c r="G59" s="155"/>
      <c r="H59" s="144"/>
      <c r="I59" s="155"/>
      <c r="J59" s="143"/>
      <c r="K59" s="148"/>
      <c r="L59" s="157"/>
      <c r="M59" s="148"/>
      <c r="N59" s="149"/>
      <c r="O59" s="151"/>
    </row>
    <row r="60" spans="1:17" ht="33.450000000000003">
      <c r="A60" s="155"/>
      <c r="B60" s="167"/>
      <c r="C60" s="155"/>
      <c r="D60" s="156"/>
      <c r="G60" s="155"/>
      <c r="H60" s="144"/>
      <c r="I60" s="155"/>
      <c r="J60" s="143"/>
      <c r="K60" s="148"/>
      <c r="L60" s="157"/>
      <c r="M60" s="148"/>
      <c r="N60" s="149"/>
      <c r="O60" s="151"/>
    </row>
    <row r="61" spans="1:17" ht="33.450000000000003">
      <c r="A61" s="155"/>
      <c r="B61" s="167"/>
      <c r="C61" s="155"/>
      <c r="D61" s="156"/>
      <c r="G61" s="155"/>
      <c r="H61" s="144"/>
      <c r="I61" s="155"/>
      <c r="J61" s="143"/>
      <c r="K61" s="148"/>
      <c r="L61" s="157"/>
      <c r="M61" s="148"/>
      <c r="N61" s="149"/>
      <c r="O61" s="151"/>
    </row>
    <row r="62" spans="1:17" ht="33.450000000000003">
      <c r="A62" s="155"/>
      <c r="B62" s="167"/>
      <c r="C62" s="155"/>
      <c r="D62" s="156"/>
      <c r="G62" s="155"/>
      <c r="H62" s="144"/>
      <c r="I62" s="155"/>
      <c r="J62" s="143"/>
      <c r="K62" s="148"/>
      <c r="L62" s="157"/>
      <c r="M62" s="148"/>
      <c r="N62" s="149"/>
      <c r="O62" s="151"/>
    </row>
    <row r="63" spans="1:17" ht="33.450000000000003">
      <c r="A63" s="155"/>
      <c r="B63" s="167"/>
      <c r="C63" s="155"/>
      <c r="D63" s="156"/>
      <c r="G63" s="155"/>
      <c r="H63" s="144"/>
      <c r="I63" s="155"/>
      <c r="J63" s="143"/>
      <c r="K63" s="148"/>
      <c r="L63" s="157"/>
      <c r="M63" s="148"/>
      <c r="N63" s="149"/>
      <c r="O63" s="151"/>
    </row>
    <row r="64" spans="1:17" ht="33.450000000000003">
      <c r="A64" s="155"/>
      <c r="B64" s="167" t="s">
        <v>243</v>
      </c>
      <c r="C64" s="155"/>
      <c r="D64" s="156"/>
      <c r="G64" s="155"/>
      <c r="H64" s="144"/>
      <c r="I64" s="155"/>
      <c r="J64" s="143"/>
      <c r="K64" s="148"/>
      <c r="L64" s="157"/>
      <c r="M64" s="148"/>
      <c r="N64" s="149"/>
      <c r="O64" s="151"/>
    </row>
    <row r="65" spans="1:33" ht="33.450000000000003">
      <c r="A65" s="155"/>
      <c r="B65" s="167"/>
      <c r="C65" s="155"/>
      <c r="D65" s="156"/>
      <c r="G65" s="155"/>
      <c r="H65" s="144"/>
      <c r="I65" s="155"/>
      <c r="J65" s="143"/>
      <c r="K65" s="148"/>
      <c r="L65" s="157"/>
      <c r="M65" s="148"/>
      <c r="N65" s="149"/>
      <c r="O65" s="151"/>
    </row>
    <row r="66" spans="1:33" ht="33.450000000000003">
      <c r="A66" s="155"/>
      <c r="B66" s="167"/>
      <c r="C66" s="155"/>
      <c r="D66" s="156"/>
      <c r="G66" s="155"/>
      <c r="H66" s="144"/>
      <c r="I66" s="155"/>
      <c r="J66" s="143"/>
      <c r="K66" s="148"/>
      <c r="L66" s="157"/>
      <c r="M66" s="148"/>
      <c r="N66" s="149"/>
      <c r="O66" s="151"/>
    </row>
    <row r="67" spans="1:33">
      <c r="A67" s="155"/>
      <c r="B67" s="153"/>
      <c r="C67" s="155"/>
      <c r="D67" s="156"/>
      <c r="G67" s="155"/>
      <c r="H67" s="144"/>
      <c r="I67" s="155"/>
      <c r="J67" s="143"/>
      <c r="K67" s="148"/>
      <c r="L67" s="157"/>
      <c r="M67" s="148"/>
      <c r="N67" s="149"/>
      <c r="O67" s="151"/>
    </row>
    <row r="68" spans="1:33" ht="45.45">
      <c r="A68" s="459" t="s">
        <v>0</v>
      </c>
      <c r="B68" s="459"/>
      <c r="C68" s="180"/>
      <c r="D68" s="180"/>
      <c r="E68" s="174"/>
      <c r="F68" s="174"/>
      <c r="G68" s="174"/>
      <c r="H68" s="174"/>
      <c r="I68" s="181" t="s">
        <v>1</v>
      </c>
      <c r="J68" s="181" t="s">
        <v>2</v>
      </c>
      <c r="K68" s="182">
        <f>K5</f>
        <v>45962</v>
      </c>
      <c r="L68" s="183" t="s">
        <v>3</v>
      </c>
      <c r="M68" s="182">
        <f>M5</f>
        <v>45991</v>
      </c>
      <c r="N68" s="181"/>
      <c r="O68" s="174"/>
      <c r="P68" s="174"/>
    </row>
    <row r="69" spans="1:33">
      <c r="A69" s="460" t="s">
        <v>4</v>
      </c>
      <c r="B69" s="460"/>
      <c r="C69" s="184" t="str">
        <f>C6</f>
        <v>Amanda Marcano Bahler</v>
      </c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</row>
    <row r="70" spans="1:33">
      <c r="A70" s="460" t="s">
        <v>5</v>
      </c>
      <c r="B70" s="460"/>
      <c r="C70" s="185"/>
      <c r="D70" s="174"/>
      <c r="E70" s="174"/>
      <c r="F70" s="174"/>
      <c r="G70" s="174"/>
      <c r="H70" s="174"/>
      <c r="I70" s="174"/>
      <c r="J70" s="174"/>
      <c r="K70" s="174"/>
      <c r="L70" s="174" t="str">
        <f>L7</f>
        <v>Horas:</v>
      </c>
      <c r="M70" s="184">
        <f>M7</f>
        <v>192</v>
      </c>
      <c r="N70" s="174"/>
      <c r="O70" s="174"/>
      <c r="P70" s="174"/>
    </row>
    <row r="71" spans="1:33">
      <c r="A71" s="174"/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</row>
    <row r="72" spans="1:33" ht="30">
      <c r="A72" s="465" t="s">
        <v>7</v>
      </c>
      <c r="B72" s="465"/>
      <c r="C72" s="187" t="s">
        <v>19</v>
      </c>
      <c r="D72" s="174"/>
      <c r="E72" s="174"/>
      <c r="F72" s="174"/>
      <c r="G72" s="174"/>
      <c r="H72" s="174"/>
      <c r="I72" s="174"/>
      <c r="J72" s="174"/>
      <c r="K72" s="174"/>
      <c r="L72" s="460" t="s">
        <v>9</v>
      </c>
      <c r="M72" s="460"/>
      <c r="N72" s="174"/>
      <c r="O72" s="174"/>
      <c r="P72" s="174"/>
    </row>
    <row r="73" spans="1:33" s="152" customFormat="1" ht="66.45" customHeight="1">
      <c r="A73" s="198" t="s">
        <v>10</v>
      </c>
      <c r="B73" s="198" t="s">
        <v>11</v>
      </c>
      <c r="C73" s="198" t="s">
        <v>12</v>
      </c>
      <c r="D73" s="198" t="s">
        <v>198</v>
      </c>
      <c r="E73" s="198" t="s">
        <v>190</v>
      </c>
      <c r="F73" s="198" t="s">
        <v>189</v>
      </c>
      <c r="G73" s="198" t="s">
        <v>14</v>
      </c>
      <c r="H73" s="199" t="s">
        <v>15</v>
      </c>
      <c r="I73" s="198" t="s">
        <v>197</v>
      </c>
      <c r="J73" s="198" t="s">
        <v>9</v>
      </c>
      <c r="K73" s="198" t="s">
        <v>16</v>
      </c>
      <c r="L73" s="198" t="s">
        <v>196</v>
      </c>
      <c r="M73" s="198" t="s">
        <v>194</v>
      </c>
      <c r="N73" s="198" t="s">
        <v>240</v>
      </c>
      <c r="O73" s="198" t="s">
        <v>241</v>
      </c>
      <c r="P73" s="199" t="s">
        <v>191</v>
      </c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61"/>
    </row>
    <row r="74" spans="1:33" ht="107.6" customHeight="1">
      <c r="A74" s="204">
        <v>30</v>
      </c>
      <c r="B74" s="205" t="str">
        <f>VLOOKUP(Tabla512131123[[#This Row],[No. Exp]],Tabla6[],2)</f>
        <v>María Eugenia Cuevas Aguilera</v>
      </c>
      <c r="C74" s="204">
        <f>VLOOKUP(Tabla512131123[[#This Row],[No. Exp]],Tabla6[],3)</f>
        <v>83120324816</v>
      </c>
      <c r="D74" s="206">
        <f>M70</f>
        <v>192</v>
      </c>
      <c r="E74" s="206">
        <f>VLOOKUP(Tabla512131123[[#This Row],[No. Exp]],Tabla6[],5)</f>
        <v>41.665999999999997</v>
      </c>
      <c r="F74" s="206">
        <f>ROUND(Tabla512131123[[#This Row],[Horas Trabajadas]]*Tabla512131123[[#This Row],[Tarifas por horas]],0)</f>
        <v>8000</v>
      </c>
      <c r="G74" s="206"/>
      <c r="H74" s="210">
        <f>Tabla512131123[[#This Row],[Salario Básico]]+Tabla512131123[[#This Row],[Bonif]]</f>
        <v>8000</v>
      </c>
      <c r="I74" s="207"/>
      <c r="J74" s="209"/>
      <c r="K74" s="206">
        <f>Tabla512131123[[#This Row],[Sal. Dev]]/24*Tabla512131123[[#This Row],[Vacaciones]]</f>
        <v>0</v>
      </c>
      <c r="L74" s="210">
        <f>Tabla512131123[[#This Row],[Sal. Dev]]-Tabla512131123[[#This Row],[Ausencias]]+Tabla512131123[[#This Row],[pago x vacaciones]]</f>
        <v>8000</v>
      </c>
      <c r="M74" s="206">
        <f>5%*Tabla512131123[[#This Row],[Salario Neto]]</f>
        <v>400</v>
      </c>
      <c r="N74" s="206">
        <f>(9510-3260)*3%</f>
        <v>187.5</v>
      </c>
      <c r="O74" s="206"/>
      <c r="P74" s="210">
        <f>Tabla512131123[[#This Row],[Sal. Dev]]-Tabla512131123[[#This Row],[Ausencias]]+Tabla512131123[[#This Row],[pago x vacaciones]]-Tabla512131123[[#This Row],[importe Seg Social]]-Tabla512131123[[#This Row],[Imp. Sobr. Ing. Per 3% (3260.00-9510.00)]]-Tabla512131123[[#This Row],[Imp. Sobr. Ing. Per 5% (9510.00-15000.00)]]</f>
        <v>7412.5</v>
      </c>
    </row>
    <row r="75" spans="1:33" ht="84" customHeight="1">
      <c r="A75" s="211">
        <v>31</v>
      </c>
      <c r="B75" s="225" t="str">
        <f>VLOOKUP(Tabla512131123[[#This Row],[No. Exp]],Tabla6[],2)</f>
        <v>Yadira Araújo Zaldívar</v>
      </c>
      <c r="C75" s="212">
        <f>VLOOKUP(Tabla512131123[[#This Row],[No. Exp]],Tabla6[],3)</f>
        <v>84082204876</v>
      </c>
      <c r="D75" s="226">
        <f>M70</f>
        <v>192</v>
      </c>
      <c r="E75" s="226">
        <f>VLOOKUP(Tabla512131123[[#This Row],[No. Exp]],Tabla6[],5)</f>
        <v>41.665999999999997</v>
      </c>
      <c r="F75" s="206">
        <f>ROUND(Tabla512131123[[#This Row],[Horas Trabajadas]]*Tabla512131123[[#This Row],[Tarifas por horas]],0)</f>
        <v>8000</v>
      </c>
      <c r="G75" s="206"/>
      <c r="H75" s="210">
        <f>Tabla512131123[[#This Row],[Salario Básico]]+Tabla512131123[[#This Row],[Bonif]]</f>
        <v>8000</v>
      </c>
      <c r="I75" s="208"/>
      <c r="J75" s="209"/>
      <c r="K75" s="207">
        <f>Tabla512131123[[#This Row],[Sal. Dev]]/24*Tabla512131123[[#This Row],[Vacaciones]]</f>
        <v>0</v>
      </c>
      <c r="L75" s="210">
        <f>Tabla512131123[[#This Row],[Sal. Dev]]-Tabla512131123[[#This Row],[Ausencias]]+Tabla512131123[[#This Row],[pago x vacaciones]]</f>
        <v>8000</v>
      </c>
      <c r="M75" s="207">
        <f>5%*Tabla512131123[[#This Row],[Salario Neto]]</f>
        <v>400</v>
      </c>
      <c r="N75" s="206">
        <f t="shared" ref="N75:N88" si="5">(9510-3260)*3%</f>
        <v>187.5</v>
      </c>
      <c r="O75" s="206"/>
      <c r="P75" s="210">
        <f>Tabla512131123[[#This Row],[Sal. Dev]]-Tabla512131123[[#This Row],[Ausencias]]+Tabla512131123[[#This Row],[pago x vacaciones]]-Tabla512131123[[#This Row],[importe Seg Social]]-Tabla512131123[[#This Row],[Imp. Sobr. Ing. Per 3% (3260.00-9510.00)]]</f>
        <v>7412.5</v>
      </c>
    </row>
    <row r="76" spans="1:33" ht="92.6" customHeight="1">
      <c r="A76" s="211">
        <v>33</v>
      </c>
      <c r="B76" s="205" t="str">
        <f>VLOOKUP(Tabla512131123[[#This Row],[No. Exp]],Tabla6[],2)</f>
        <v>Daned Montesino Hernández</v>
      </c>
      <c r="C76" s="212" t="str">
        <f>VLOOKUP(Tabla512131123[[#This Row],[No. Exp]],Tabla6[],3)</f>
        <v>77020101011</v>
      </c>
      <c r="D76" s="226">
        <v>192</v>
      </c>
      <c r="E76" s="206">
        <f>VLOOKUP(Tabla512131123[[#This Row],[No. Exp]],Tabla6[],5)</f>
        <v>41.665999999999997</v>
      </c>
      <c r="F76" s="206">
        <f>ROUND(Tabla512131123[[#This Row],[Horas Trabajadas]]*Tabla512131123[[#This Row],[Tarifas por horas]],0)</f>
        <v>8000</v>
      </c>
      <c r="G76" s="206"/>
      <c r="H76" s="210">
        <f>Tabla512131123[[#This Row],[Salario Básico]]+Tabla512131123[[#This Row],[Bonif]]</f>
        <v>8000</v>
      </c>
      <c r="I76" s="213"/>
      <c r="J76" s="209"/>
      <c r="K76" s="206">
        <f>Tabla512131123[[#This Row],[Sal. Dev]]/24*Tabla512131123[[#This Row],[Vacaciones]]</f>
        <v>0</v>
      </c>
      <c r="L76" s="210">
        <f>Tabla512131123[[#This Row],[Sal. Dev]]-Tabla512131123[[#This Row],[Ausencias]]+Tabla512131123[[#This Row],[pago x vacaciones]]</f>
        <v>8000</v>
      </c>
      <c r="M76" s="207">
        <f>5%*Tabla512131123[[#This Row],[Salario Neto]]</f>
        <v>400</v>
      </c>
      <c r="N76" s="206">
        <f t="shared" si="5"/>
        <v>187.5</v>
      </c>
      <c r="O76" s="206"/>
      <c r="P76" s="210">
        <f>Tabla512131123[[#This Row],[Sal. Dev]]-Tabla512131123[[#This Row],[Ausencias]]+Tabla512131123[[#This Row],[pago x vacaciones]]-Tabla512131123[[#This Row],[importe Seg Social]]-Tabla512131123[[#This Row],[Imp. Sobr. Ing. Per 3% (3260.00-9510.00)]]</f>
        <v>7412.5</v>
      </c>
    </row>
    <row r="77" spans="1:33" ht="87" customHeight="1">
      <c r="A77" s="211">
        <v>34</v>
      </c>
      <c r="B77" s="205" t="str">
        <f>VLOOKUP(Tabla512131123[[#This Row],[No. Exp]],Tabla6[],2)</f>
        <v>Lia León López</v>
      </c>
      <c r="C77" s="212" t="str">
        <f>VLOOKUP(Tabla512131123[[#This Row],[No. Exp]],Tabla6[],3)</f>
        <v>02051466891</v>
      </c>
      <c r="D77" s="226">
        <v>192</v>
      </c>
      <c r="E77" s="206">
        <f>VLOOKUP(Tabla512131123[[#This Row],[No. Exp]],Tabla6[],5)</f>
        <v>41.665999999999997</v>
      </c>
      <c r="F77" s="206">
        <f>ROUND(Tabla512131123[[#This Row],[Horas Trabajadas]]*Tabla512131123[[#This Row],[Tarifas por horas]],0)</f>
        <v>8000</v>
      </c>
      <c r="G77" s="206"/>
      <c r="H77" s="210">
        <f>Tabla512131123[[#This Row],[Salario Básico]]+Tabla512131123[[#This Row],[Bonif]]</f>
        <v>8000</v>
      </c>
      <c r="I77" s="213"/>
      <c r="J77" s="209"/>
      <c r="K77" s="206">
        <f>Tabla512131123[[#This Row],[Sal. Dev]]/24*Tabla512131123[[#This Row],[Vacaciones]]</f>
        <v>0</v>
      </c>
      <c r="L77" s="210">
        <f>Tabla512131123[[#This Row],[Sal. Dev]]-Tabla512131123[[#This Row],[Ausencias]]+Tabla512131123[[#This Row],[pago x vacaciones]]</f>
        <v>8000</v>
      </c>
      <c r="M77" s="206">
        <f>5%*Tabla512131123[[#This Row],[Salario Neto]]</f>
        <v>400</v>
      </c>
      <c r="N77" s="206">
        <f t="shared" si="5"/>
        <v>187.5</v>
      </c>
      <c r="O77" s="206"/>
      <c r="P77" s="210">
        <f>Tabla512131123[[#This Row],[Sal. Dev]]-Tabla512131123[[#This Row],[Ausencias]]+Tabla512131123[[#This Row],[pago x vacaciones]]-Tabla512131123[[#This Row],[importe Seg Social]]-Tabla512131123[[#This Row],[Imp. Sobr. Ing. Per 3% (3260.00-9510.00)]]-Tabla512131123[[#This Row],[Imp. Sobr. Ing. Per 5% (9510.00-15000.00)]]</f>
        <v>7412.5</v>
      </c>
    </row>
    <row r="78" spans="1:33" ht="88.3" customHeight="1">
      <c r="A78" s="211">
        <v>36</v>
      </c>
      <c r="B78" s="205" t="str">
        <f>VLOOKUP(Tabla512131123[[#This Row],[No. Exp]],Tabla6[],2)</f>
        <v>Janet Martínez Rodríguez</v>
      </c>
      <c r="C78" s="212">
        <f>VLOOKUP(Tabla512131123[[#This Row],[No. Exp]],Tabla6[],3)</f>
        <v>76120900718</v>
      </c>
      <c r="D78" s="206">
        <v>192</v>
      </c>
      <c r="E78" s="206">
        <f>VLOOKUP(Tabla512131123[[#This Row],[No. Exp]],Tabla6[],5)</f>
        <v>41.665999999999997</v>
      </c>
      <c r="F78" s="206">
        <f>ROUND(Tabla512131123[[#This Row],[Horas Trabajadas]]*Tabla512131123[[#This Row],[Tarifas por horas]],0)</f>
        <v>8000</v>
      </c>
      <c r="G78" s="206"/>
      <c r="H78" s="210">
        <f>Tabla512131123[[#This Row],[Salario Básico]]+Tabla512131123[[#This Row],[Bonif]]</f>
        <v>8000</v>
      </c>
      <c r="I78" s="213"/>
      <c r="J78" s="209"/>
      <c r="K78" s="207">
        <f>Tabla512131123[[#This Row],[Sal. Dev]]/24*Tabla512131123[[#This Row],[Vacaciones]]</f>
        <v>0</v>
      </c>
      <c r="L78" s="210">
        <f>Tabla512131123[[#This Row],[Sal. Dev]]-Tabla512131123[[#This Row],[Ausencias]]+Tabla512131123[[#This Row],[pago x vacaciones]]</f>
        <v>8000</v>
      </c>
      <c r="M78" s="207">
        <f>5%*Tabla512131123[[#This Row],[Salario Neto]]</f>
        <v>400</v>
      </c>
      <c r="N78" s="206">
        <f t="shared" si="5"/>
        <v>187.5</v>
      </c>
      <c r="O78" s="206"/>
      <c r="P78" s="210">
        <f>Tabla512131123[[#This Row],[Sal. Dev]]-Tabla512131123[[#This Row],[Ausencias]]+Tabla512131123[[#This Row],[pago x vacaciones]]-Tabla512131123[[#This Row],[importe Seg Social]]-Tabla512131123[[#This Row],[Imp. Sobr. Ing. Per 3% (3260.00-9510.00)]]</f>
        <v>7412.5</v>
      </c>
    </row>
    <row r="79" spans="1:33" ht="96.45" customHeight="1">
      <c r="A79" s="211">
        <v>39</v>
      </c>
      <c r="B79" s="205" t="str">
        <f>VLOOKUP(Tabla512131123[[#This Row],[No. Exp]],Tabla6[],2)</f>
        <v>Elizabeth Hernández González</v>
      </c>
      <c r="C79" s="212">
        <f>VLOOKUP(Tabla512131123[[#This Row],[No. Exp]],Tabla6[],3)</f>
        <v>95111328273</v>
      </c>
      <c r="D79" s="206">
        <v>192</v>
      </c>
      <c r="E79" s="206">
        <f>VLOOKUP(Tabla512131123[[#This Row],[No. Exp]],Tabla6[],5)</f>
        <v>41.665999999999997</v>
      </c>
      <c r="F79" s="206">
        <f>ROUND(Tabla512131123[[#This Row],[Horas Trabajadas]]*Tabla512131123[[#This Row],[Tarifas por horas]],0)</f>
        <v>8000</v>
      </c>
      <c r="G79" s="206"/>
      <c r="H79" s="210">
        <f>Tabla512131123[[#This Row],[Salario Básico]]+Tabla512131123[[#This Row],[Bonif]]</f>
        <v>8000</v>
      </c>
      <c r="I79" s="213"/>
      <c r="J79" s="209">
        <v>10</v>
      </c>
      <c r="K79" s="206">
        <f>Tabla512131123[[#This Row],[Sal. Dev]]/24*Tabla512131123[[#This Row],[Vacaciones]]</f>
        <v>3333.333333333333</v>
      </c>
      <c r="L79" s="210">
        <f>Tabla512131123[[#This Row],[Sal. Dev]]-Tabla512131123[[#This Row],[Ausencias]]+Tabla512131123[[#This Row],[pago x vacaciones]]</f>
        <v>11333.333333333332</v>
      </c>
      <c r="M79" s="206">
        <f>5%*Tabla512131123[[#This Row],[Salario Neto]]</f>
        <v>566.66666666666663</v>
      </c>
      <c r="N79" s="206">
        <f t="shared" si="5"/>
        <v>187.5</v>
      </c>
      <c r="O79" s="206">
        <f>(Tabla512131123[[#This Row],[Salario Neto]]-9510)*5%</f>
        <v>91.166666666666615</v>
      </c>
      <c r="P79" s="210">
        <f>Tabla512131123[[#This Row],[Sal. Dev]]-Tabla512131123[[#This Row],[Ausencias]]+Tabla512131123[[#This Row],[pago x vacaciones]]-Tabla512131123[[#This Row],[importe Seg Social]]-Tabla512131123[[#This Row],[Imp. Sobr. Ing. Per 3% (3260.00-9510.00)]]-Tabla512131123[[#This Row],[Imp. Sobr. Ing. Per 5% (9510.00-15000.00)]]</f>
        <v>10488</v>
      </c>
    </row>
    <row r="80" spans="1:33" ht="95.6" customHeight="1">
      <c r="A80" s="211">
        <v>40</v>
      </c>
      <c r="B80" s="205" t="str">
        <f>VLOOKUP(Tabla512131123[[#This Row],[No. Exp]],Tabla6[],2)</f>
        <v xml:space="preserve">Yunet de la Caridad Sotelo Porto </v>
      </c>
      <c r="C80" s="212" t="str">
        <f>VLOOKUP(Tabla512131123[[#This Row],[No. Exp]],Tabla6[],3)</f>
        <v>85032505213</v>
      </c>
      <c r="D80" s="206">
        <v>192</v>
      </c>
      <c r="E80" s="206">
        <f>VLOOKUP(Tabla512131123[[#This Row],[No. Exp]],Tabla6[],5)</f>
        <v>41.665999999999997</v>
      </c>
      <c r="F80" s="206">
        <f>ROUND(Tabla512131123[[#This Row],[Horas Trabajadas]]*Tabla512131123[[#This Row],[Tarifas por horas]],0)</f>
        <v>8000</v>
      </c>
      <c r="G80" s="206"/>
      <c r="H80" s="210">
        <f>Tabla512131123[[#This Row],[Salario Básico]]+Tabla512131123[[#This Row],[Bonif]]</f>
        <v>8000</v>
      </c>
      <c r="I80" s="213"/>
      <c r="J80" s="209"/>
      <c r="K80" s="207">
        <f>Tabla512131123[[#This Row],[Sal. Dev]]/24*Tabla512131123[[#This Row],[Vacaciones]]</f>
        <v>0</v>
      </c>
      <c r="L80" s="210">
        <f>Tabla512131123[[#This Row],[Sal. Dev]]-Tabla512131123[[#This Row],[Ausencias]]+Tabla512131123[[#This Row],[pago x vacaciones]]</f>
        <v>8000</v>
      </c>
      <c r="M80" s="207">
        <f>5%*Tabla512131123[[#This Row],[Salario Neto]]</f>
        <v>400</v>
      </c>
      <c r="N80" s="206">
        <f t="shared" si="5"/>
        <v>187.5</v>
      </c>
      <c r="O80" s="206"/>
      <c r="P80" s="210">
        <f>Tabla512131123[[#This Row],[Sal. Dev]]-Tabla512131123[[#This Row],[Ausencias]]+Tabla512131123[[#This Row],[pago x vacaciones]]-Tabla512131123[[#This Row],[importe Seg Social]]-Tabla512131123[[#This Row],[Imp. Sobr. Ing. Per 3% (3260.00-9510.00)]]</f>
        <v>7412.5</v>
      </c>
    </row>
    <row r="81" spans="1:16" ht="96" customHeight="1">
      <c r="A81" s="211">
        <v>42</v>
      </c>
      <c r="B81" s="205" t="str">
        <f>VLOOKUP(Tabla512131123[[#This Row],[No. Exp]],Tabla6[],2)</f>
        <v>Laura Lobaina Llera</v>
      </c>
      <c r="C81" s="212" t="str">
        <f>VLOOKUP(Tabla512131123[[#This Row],[No. Exp]],Tabla6[],3)</f>
        <v>95092328970</v>
      </c>
      <c r="D81" s="206">
        <v>192</v>
      </c>
      <c r="E81" s="206">
        <f>VLOOKUP(Tabla512131123[[#This Row],[No. Exp]],Tabla6[],5)</f>
        <v>41.665999999999997</v>
      </c>
      <c r="F81" s="206">
        <f>ROUND(Tabla512131123[[#This Row],[Horas Trabajadas]]*Tabla512131123[[#This Row],[Tarifas por horas]],0)</f>
        <v>8000</v>
      </c>
      <c r="G81" s="206"/>
      <c r="H81" s="210">
        <f>Tabla512131123[[#This Row],[Salario Básico]]+Tabla512131123[[#This Row],[Bonif]]</f>
        <v>8000</v>
      </c>
      <c r="I81" s="213"/>
      <c r="J81" s="209"/>
      <c r="K81" s="207" cm="1">
        <f t="array" ref="K81">MMULT(Tabla512131123[[#This Row],[Tarifas por horas]],8)*Tabla512131123[[#This Row],[Vacaciones]]</f>
        <v>0</v>
      </c>
      <c r="L81" s="210">
        <f>Tabla512131123[[#This Row],[Sal. Dev]]-Tabla512131123[[#This Row],[Ausencias]]+Tabla512131123[[#This Row],[pago x vacaciones]]</f>
        <v>8000</v>
      </c>
      <c r="M81" s="207">
        <f>5%*Tabla512131123[[#This Row],[Salario Neto]]</f>
        <v>400</v>
      </c>
      <c r="N81" s="206">
        <f t="shared" si="5"/>
        <v>187.5</v>
      </c>
      <c r="O81" s="206"/>
      <c r="P81" s="210">
        <f>Tabla512131123[[#This Row],[Sal. Dev]]-Tabla512131123[[#This Row],[Ausencias]]+Tabla512131123[[#This Row],[pago x vacaciones]]-Tabla512131123[[#This Row],[importe Seg Social]]-Tabla512131123[[#This Row],[Imp. Sobr. Ing. Per 3% (3260.00-9510.00)]]</f>
        <v>7412.5</v>
      </c>
    </row>
    <row r="82" spans="1:16" ht="88.75" customHeight="1">
      <c r="A82" s="211">
        <v>47</v>
      </c>
      <c r="B82" s="205" t="str">
        <f>VLOOKUP(Tabla512131123[[#This Row],[No. Exp]],Tabla6[],2)</f>
        <v xml:space="preserve">Sheila González Tuero </v>
      </c>
      <c r="C82" s="212">
        <f>VLOOKUP(Tabla512131123[[#This Row],[No. Exp]],Tabla6[],3)</f>
        <v>94111928919</v>
      </c>
      <c r="D82" s="206">
        <v>192</v>
      </c>
      <c r="E82" s="206">
        <f>VLOOKUP(Tabla512131123[[#This Row],[No. Exp]],Tabla6[],5)</f>
        <v>41.665999999999997</v>
      </c>
      <c r="F82" s="206">
        <f>ROUND(Tabla512131123[[#This Row],[Horas Trabajadas]]*Tabla512131123[[#This Row],[Tarifas por horas]],0)</f>
        <v>8000</v>
      </c>
      <c r="G82" s="206"/>
      <c r="H82" s="210">
        <f>Tabla512131123[[#This Row],[Salario Básico]]+Tabla512131123[[#This Row],[Bonif]]</f>
        <v>8000</v>
      </c>
      <c r="I82" s="213"/>
      <c r="J82" s="209"/>
      <c r="K82" s="207" cm="1">
        <f t="array" ref="K82">MMULT(Tabla512131123[[#This Row],[Tarifas por horas]],8)*Tabla512131123[[#This Row],[Vacaciones]]</f>
        <v>0</v>
      </c>
      <c r="L82" s="210">
        <f>Tabla512131123[[#This Row],[Sal. Dev]]-Tabla512131123[[#This Row],[Ausencias]]+Tabla512131123[[#This Row],[pago x vacaciones]]</f>
        <v>8000</v>
      </c>
      <c r="M82" s="207">
        <f>5%*Tabla512131123[[#This Row],[Salario Neto]]</f>
        <v>400</v>
      </c>
      <c r="N82" s="206">
        <f t="shared" si="5"/>
        <v>187.5</v>
      </c>
      <c r="O82" s="206"/>
      <c r="P82" s="210">
        <f>Tabla512131123[[#This Row],[Sal. Dev]]-Tabla512131123[[#This Row],[Ausencias]]+Tabla512131123[[#This Row],[pago x vacaciones]]-Tabla512131123[[#This Row],[importe Seg Social]]-Tabla512131123[[#This Row],[Imp. Sobr. Ing. Per 3% (3260.00-9510.00)]]</f>
        <v>7412.5</v>
      </c>
    </row>
    <row r="83" spans="1:16" ht="90" customHeight="1">
      <c r="A83" s="211">
        <v>48</v>
      </c>
      <c r="B83" s="205" t="str">
        <f>VLOOKUP(Tabla512131123[[#This Row],[No. Exp]],Tabla6[],2)</f>
        <v>Onel Angel Martínez López</v>
      </c>
      <c r="C83" s="212" t="str">
        <f>VLOOKUP(Tabla512131123[[#This Row],[No. Exp]],Tabla6[],3)</f>
        <v>99081600501</v>
      </c>
      <c r="D83" s="206">
        <v>192</v>
      </c>
      <c r="E83" s="206">
        <f>VLOOKUP(Tabla512131123[[#This Row],[No. Exp]],Tabla6[],5)</f>
        <v>41.665999999999997</v>
      </c>
      <c r="F83" s="206">
        <f>ROUND(Tabla512131123[[#This Row],[Horas Trabajadas]]*Tabla512131123[[#This Row],[Tarifas por horas]],0)</f>
        <v>8000</v>
      </c>
      <c r="G83" s="206"/>
      <c r="H83" s="210">
        <f>Tabla512131123[[#This Row],[Salario Básico]]+Tabla512131123[[#This Row],[Bonif]]</f>
        <v>8000</v>
      </c>
      <c r="I83" s="213"/>
      <c r="J83" s="209"/>
      <c r="K83" s="207" cm="1">
        <f t="array" ref="K83">MMULT(Tabla512131123[[#This Row],[Tarifas por horas]],8)*Tabla512131123[[#This Row],[Vacaciones]]</f>
        <v>0</v>
      </c>
      <c r="L83" s="210">
        <f>Tabla512131123[[#This Row],[Sal. Dev]]-Tabla512131123[[#This Row],[Ausencias]]+Tabla512131123[[#This Row],[pago x vacaciones]]</f>
        <v>8000</v>
      </c>
      <c r="M83" s="207">
        <f>5%*Tabla512131123[[#This Row],[Salario Neto]]</f>
        <v>400</v>
      </c>
      <c r="N83" s="206">
        <f t="shared" si="5"/>
        <v>187.5</v>
      </c>
      <c r="O83" s="206"/>
      <c r="P83" s="210">
        <f>Tabla512131123[[#This Row],[Sal. Dev]]-Tabla512131123[[#This Row],[Ausencias]]+Tabla512131123[[#This Row],[pago x vacaciones]]-Tabla512131123[[#This Row],[importe Seg Social]]-Tabla512131123[[#This Row],[Imp. Sobr. Ing. Per 3% (3260.00-9510.00)]]</f>
        <v>7412.5</v>
      </c>
    </row>
    <row r="84" spans="1:16" ht="93.9" customHeight="1">
      <c r="A84" s="211">
        <v>49</v>
      </c>
      <c r="B84" s="205" t="str">
        <f>VLOOKUP(Tabla512131123[[#This Row],[No. Exp]],Tabla6[],2)</f>
        <v>Abraham Rodríguez Colina</v>
      </c>
      <c r="C84" s="212" t="str">
        <f>VLOOKUP(Tabla512131123[[#This Row],[No. Exp]],Tabla6[],3)</f>
        <v>97051407323</v>
      </c>
      <c r="D84" s="206">
        <v>192</v>
      </c>
      <c r="E84" s="206">
        <f>VLOOKUP(Tabla512131123[[#This Row],[No. Exp]],Tabla6[],5)</f>
        <v>41.665999999999997</v>
      </c>
      <c r="F84" s="206">
        <f>ROUND(Tabla512131123[[#This Row],[Horas Trabajadas]]*Tabla512131123[[#This Row],[Tarifas por horas]],0)</f>
        <v>8000</v>
      </c>
      <c r="G84" s="206"/>
      <c r="H84" s="210">
        <f>Tabla512131123[[#This Row],[Salario Básico]]+Tabla512131123[[#This Row],[Bonif]]</f>
        <v>8000</v>
      </c>
      <c r="I84" s="213"/>
      <c r="J84" s="209"/>
      <c r="K84" s="207" cm="1">
        <f t="array" ref="K84">MMULT(Tabla512131123[[#This Row],[Tarifas por horas]],8)*Tabla512131123[[#This Row],[Vacaciones]]</f>
        <v>0</v>
      </c>
      <c r="L84" s="210">
        <f>Tabla512131123[[#This Row],[Sal. Dev]]-Tabla512131123[[#This Row],[Ausencias]]+Tabla512131123[[#This Row],[pago x vacaciones]]</f>
        <v>8000</v>
      </c>
      <c r="M84" s="207">
        <f>5%*Tabla512131123[[#This Row],[Salario Neto]]</f>
        <v>400</v>
      </c>
      <c r="N84" s="206">
        <f t="shared" si="5"/>
        <v>187.5</v>
      </c>
      <c r="O84" s="206"/>
      <c r="P84" s="210">
        <f>Tabla512131123[[#This Row],[Sal. Dev]]-Tabla512131123[[#This Row],[Ausencias]]+Tabla512131123[[#This Row],[pago x vacaciones]]-Tabla512131123[[#This Row],[importe Seg Social]]-Tabla512131123[[#This Row],[Imp. Sobr. Ing. Per 3% (3260.00-9510.00)]]</f>
        <v>7412.5</v>
      </c>
    </row>
    <row r="85" spans="1:16" ht="94.75" customHeight="1">
      <c r="A85" s="204">
        <v>93</v>
      </c>
      <c r="B85" s="205" t="str">
        <f>VLOOKUP(Tabla512131123[[#This Row],[No. Exp]],Tabla6[],2)</f>
        <v>Zaily Cruz Sánchez</v>
      </c>
      <c r="C85" s="212">
        <f>VLOOKUP(Tabla512131123[[#This Row],[No. Exp]],Tabla6[],3)</f>
        <v>97042206435</v>
      </c>
      <c r="D85" s="206">
        <v>192</v>
      </c>
      <c r="E85" s="206">
        <f>VLOOKUP(Tabla512131123[[#This Row],[No. Exp]],Tabla6[],5)</f>
        <v>41.665999999999997</v>
      </c>
      <c r="F85" s="206">
        <f>ROUND(Tabla512131123[[#This Row],[Horas Trabajadas]]*Tabla512131123[[#This Row],[Tarifas por horas]],0)</f>
        <v>8000</v>
      </c>
      <c r="G85" s="206"/>
      <c r="H85" s="210">
        <f>Tabla512131123[[#This Row],[Salario Básico]]+Tabla512131123[[#This Row],[Bonif]]</f>
        <v>8000</v>
      </c>
      <c r="I85" s="213"/>
      <c r="J85" s="209"/>
      <c r="K85" s="207" cm="1">
        <f t="array" ref="K85">MMULT(Tabla512131123[[#This Row],[Tarifas por horas]],8)*Tabla512131123[[#This Row],[Vacaciones]]</f>
        <v>0</v>
      </c>
      <c r="L85" s="210">
        <f>Tabla512131123[[#This Row],[Sal. Dev]]-Tabla512131123[[#This Row],[Ausencias]]+Tabla512131123[[#This Row],[pago x vacaciones]]</f>
        <v>8000</v>
      </c>
      <c r="M85" s="207">
        <f>5%*Tabla512131123[[#This Row],[Salario Neto]]</f>
        <v>400</v>
      </c>
      <c r="N85" s="206">
        <f t="shared" si="5"/>
        <v>187.5</v>
      </c>
      <c r="O85" s="206"/>
      <c r="P85" s="210">
        <f>Tabla512131123[[#This Row],[Sal. Dev]]-Tabla512131123[[#This Row],[Ausencias]]+Tabla512131123[[#This Row],[pago x vacaciones]]-Tabla512131123[[#This Row],[importe Seg Social]]-Tabla512131123[[#This Row],[Imp. Sobr. Ing. Per 3% (3260.00-9510.00)]]</f>
        <v>7412.5</v>
      </c>
    </row>
    <row r="86" spans="1:16" ht="88.85" customHeight="1">
      <c r="A86" s="204">
        <v>122</v>
      </c>
      <c r="B86" s="205" t="str">
        <f>VLOOKUP(Tabla512131123[[#This Row],[No. Exp]],Tabla6[],2)</f>
        <v xml:space="preserve">Ivis Arcos Gutiérrez  </v>
      </c>
      <c r="C86" s="212">
        <f>VLOOKUP(Tabla512131123[[#This Row],[No. Exp]],Tabla6[],3)</f>
        <v>98071806091</v>
      </c>
      <c r="D86" s="206">
        <v>192</v>
      </c>
      <c r="E86" s="206">
        <f>VLOOKUP(Tabla512131123[[#This Row],[No. Exp]],Tabla6[],5)</f>
        <v>41.665999999999997</v>
      </c>
      <c r="F86" s="206">
        <f>ROUND(Tabla512131123[[#This Row],[Horas Trabajadas]]*Tabla512131123[[#This Row],[Tarifas por horas]],0)</f>
        <v>8000</v>
      </c>
      <c r="G86" s="206"/>
      <c r="H86" s="210">
        <f>Tabla512131123[[#This Row],[Salario Básico]]+Tabla512131123[[#This Row],[Bonif]]</f>
        <v>8000</v>
      </c>
      <c r="I86" s="213"/>
      <c r="J86" s="209"/>
      <c r="K86" s="207" cm="1">
        <f t="array" ref="K86">MMULT(Tabla512131123[[#This Row],[Tarifas por horas]],8)*Tabla512131123[[#This Row],[Vacaciones]]</f>
        <v>0</v>
      </c>
      <c r="L86" s="388">
        <f>Tabla512131123[[#This Row],[Sal. Dev]]-Tabla512131123[[#This Row],[Ausencias]]+Tabla512131123[[#This Row],[pago x vacaciones]]</f>
        <v>8000</v>
      </c>
      <c r="M86" s="207">
        <f>5%*Tabla512131123[[#This Row],[Salario Neto]]</f>
        <v>400</v>
      </c>
      <c r="N86" s="206">
        <f t="shared" si="5"/>
        <v>187.5</v>
      </c>
      <c r="O86" s="206"/>
      <c r="P86" s="210">
        <f>Tabla512131123[[#This Row],[Sal. Dev]]-Tabla512131123[[#This Row],[Ausencias]]+Tabla512131123[[#This Row],[pago x vacaciones]]-Tabla512131123[[#This Row],[importe Seg Social]]-Tabla512131123[[#This Row],[Imp. Sobr. Ing. Per 3% (3260.00-9510.00)]]-Tabla512131123[[#This Row],[Imp. Sobr. Ing. Per 5% (9510.00-15000.00)]]</f>
        <v>7412.5</v>
      </c>
    </row>
    <row r="87" spans="1:16" ht="91.3" customHeight="1">
      <c r="A87" s="204">
        <v>119</v>
      </c>
      <c r="B87" s="205" t="str">
        <f>VLOOKUP(Tabla512131123[[#This Row],[No. Exp]],Tabla6[],2)</f>
        <v>Laurin Susana Castillo Ramirez</v>
      </c>
      <c r="C87" s="212" t="str">
        <f>VLOOKUP(Tabla512131123[[#This Row],[No. Exp]],Tabla6[],3)</f>
        <v>02100662657</v>
      </c>
      <c r="D87" s="206">
        <v>192</v>
      </c>
      <c r="E87" s="206">
        <f>VLOOKUP(Tabla512131123[[#This Row],[No. Exp]],Tabla6[],5)</f>
        <v>41.665999999999997</v>
      </c>
      <c r="F87" s="206">
        <f>ROUND(Tabla512131123[[#This Row],[Horas Trabajadas]]*Tabla512131123[[#This Row],[Tarifas por horas]],0)</f>
        <v>8000</v>
      </c>
      <c r="G87" s="206"/>
      <c r="H87" s="210">
        <f>Tabla512131123[[#This Row],[Salario Básico]]+Tabla512131123[[#This Row],[Bonif]]</f>
        <v>8000</v>
      </c>
      <c r="I87" s="213"/>
      <c r="J87" s="209"/>
      <c r="K87" s="207" cm="1">
        <f t="array" ref="K87">MMULT(Tabla512131123[[#This Row],[Tarifas por horas]],8)*Tabla512131123[[#This Row],[Vacaciones]]</f>
        <v>0</v>
      </c>
      <c r="L87" s="388">
        <f>Tabla512131123[[#This Row],[Sal. Dev]]-Tabla512131123[[#This Row],[Ausencias]]+Tabla512131123[[#This Row],[pago x vacaciones]]</f>
        <v>8000</v>
      </c>
      <c r="M87" s="207">
        <f>5%*Tabla512131123[[#This Row],[Salario Neto]]</f>
        <v>400</v>
      </c>
      <c r="N87" s="206">
        <f t="shared" si="5"/>
        <v>187.5</v>
      </c>
      <c r="O87" s="206"/>
      <c r="P87" s="210">
        <f>Tabla512131123[[#This Row],[Sal. Dev]]-Tabla512131123[[#This Row],[Ausencias]]+Tabla512131123[[#This Row],[pago x vacaciones]]-Tabla512131123[[#This Row],[importe Seg Social]]-Tabla512131123[[#This Row],[Imp. Sobr. Ing. Per 3% (3260.00-9510.00)]]</f>
        <v>7412.5</v>
      </c>
    </row>
    <row r="88" spans="1:16" ht="96.45" customHeight="1">
      <c r="A88" s="204">
        <v>112</v>
      </c>
      <c r="B88" s="205" t="str">
        <f>VLOOKUP(Tabla512131123[[#This Row],[No. Exp]],Tabla6[],2)</f>
        <v>Patricia Rodríguez Campa</v>
      </c>
      <c r="C88" s="212">
        <f>VLOOKUP(Tabla512131123[[#This Row],[No. Exp]],Tabla6[],3)</f>
        <v>97122108676</v>
      </c>
      <c r="D88" s="206">
        <v>192</v>
      </c>
      <c r="E88" s="206">
        <f>VLOOKUP(Tabla512131123[[#This Row],[No. Exp]],Tabla6[],5)</f>
        <v>41.665999999999997</v>
      </c>
      <c r="F88" s="206">
        <f>ROUND(Tabla512131123[[#This Row],[Horas Trabajadas]]*Tabla512131123[[#This Row],[Tarifas por horas]],0)</f>
        <v>8000</v>
      </c>
      <c r="G88" s="206"/>
      <c r="H88" s="210">
        <f>Tabla512131123[[#This Row],[Salario Básico]]+Tabla512131123[[#This Row],[Bonif]]</f>
        <v>8000</v>
      </c>
      <c r="I88" s="213"/>
      <c r="J88" s="209"/>
      <c r="K88" s="207" cm="1">
        <f t="array" ref="K88">MMULT(Tabla512131123[[#This Row],[Tarifas por horas]],8)*Tabla512131123[[#This Row],[Vacaciones]]</f>
        <v>0</v>
      </c>
      <c r="L88" s="388">
        <f>Tabla512131123[[#This Row],[Sal. Dev]]-Tabla512131123[[#This Row],[Ausencias]]+Tabla512131123[[#This Row],[pago x vacaciones]]</f>
        <v>8000</v>
      </c>
      <c r="M88" s="207">
        <f>5%*Tabla512131123[[#This Row],[Salario Neto]]</f>
        <v>400</v>
      </c>
      <c r="N88" s="206">
        <f t="shared" si="5"/>
        <v>187.5</v>
      </c>
      <c r="O88" s="206"/>
      <c r="P88" s="210">
        <f>Tabla512131123[[#This Row],[Sal. Dev]]-Tabla512131123[[#This Row],[Ausencias]]+Tabla512131123[[#This Row],[pago x vacaciones]]-Tabla512131123[[#This Row],[importe Seg Social]]-Tabla512131123[[#This Row],[Imp. Sobr. Ing. Per 3% (3260.00-9510.00)]]</f>
        <v>7412.5</v>
      </c>
    </row>
    <row r="89" spans="1:16">
      <c r="A89" s="197"/>
      <c r="B89" s="188"/>
      <c r="C89" s="181"/>
      <c r="D89" s="191"/>
      <c r="E89" s="191"/>
      <c r="F89" s="188"/>
      <c r="G89" s="188"/>
      <c r="H89" s="192"/>
      <c r="I89" s="174"/>
      <c r="J89" s="180"/>
      <c r="K89" s="188"/>
      <c r="L89" s="192"/>
      <c r="M89" s="188"/>
      <c r="N89" s="191"/>
      <c r="O89" s="196"/>
      <c r="P89" s="174"/>
    </row>
    <row r="90" spans="1:16">
      <c r="A90" s="142"/>
      <c r="B90" s="148"/>
      <c r="C90" s="141"/>
      <c r="D90" s="149"/>
      <c r="E90" s="149"/>
      <c r="F90" s="148"/>
      <c r="G90" s="148"/>
      <c r="H90" s="150"/>
      <c r="J90" s="143"/>
      <c r="K90" s="148"/>
      <c r="L90" s="157"/>
      <c r="M90" s="148"/>
      <c r="N90" s="149"/>
      <c r="O90" s="151"/>
    </row>
    <row r="91" spans="1:16">
      <c r="A91" s="142"/>
      <c r="B91" s="148"/>
      <c r="C91" s="141"/>
      <c r="D91" s="149"/>
      <c r="E91" s="149"/>
      <c r="F91" s="148"/>
      <c r="G91" s="148"/>
      <c r="H91" s="150"/>
      <c r="J91" s="143"/>
      <c r="K91" s="148"/>
      <c r="L91" s="157"/>
      <c r="M91" s="148"/>
      <c r="N91" s="149"/>
      <c r="O91" s="151"/>
    </row>
    <row r="92" spans="1:16" ht="30" customHeight="1">
      <c r="A92" s="142"/>
      <c r="B92" s="466"/>
      <c r="C92" s="466"/>
      <c r="D92" s="149"/>
      <c r="E92" s="149"/>
      <c r="F92" s="148"/>
      <c r="G92" s="148"/>
      <c r="H92" s="150"/>
      <c r="J92" s="143"/>
      <c r="K92" s="148"/>
      <c r="L92" s="157"/>
      <c r="M92" s="148"/>
      <c r="N92" s="149"/>
      <c r="O92" s="151"/>
    </row>
    <row r="93" spans="1:16">
      <c r="A93" s="142"/>
      <c r="D93" s="149"/>
      <c r="E93" s="149"/>
      <c r="F93" s="148"/>
      <c r="G93" s="148"/>
      <c r="H93" s="150"/>
      <c r="J93" s="143"/>
      <c r="K93" s="148"/>
      <c r="L93" s="157"/>
      <c r="M93" s="148"/>
      <c r="N93" s="149"/>
      <c r="O93" s="151"/>
    </row>
    <row r="94" spans="1:16" ht="33.450000000000003">
      <c r="A94" s="142"/>
      <c r="B94" s="168"/>
      <c r="C94" s="169"/>
      <c r="D94" s="149"/>
      <c r="E94" s="149"/>
      <c r="F94" s="148"/>
      <c r="G94" s="148"/>
      <c r="H94" s="150"/>
      <c r="J94" s="143"/>
      <c r="K94" s="148"/>
      <c r="L94" s="157"/>
      <c r="M94" s="148"/>
      <c r="N94" s="149"/>
      <c r="O94" s="151"/>
    </row>
    <row r="95" spans="1:16" ht="33.450000000000003">
      <c r="A95" s="142"/>
      <c r="B95" s="168"/>
      <c r="C95" s="169"/>
      <c r="D95" s="149"/>
      <c r="E95" s="149"/>
      <c r="F95" s="148"/>
      <c r="G95" s="148"/>
      <c r="H95" s="150"/>
      <c r="J95" s="143"/>
      <c r="K95" s="148"/>
      <c r="L95" s="157"/>
      <c r="M95" s="148"/>
      <c r="N95" s="149"/>
      <c r="O95" s="151"/>
    </row>
    <row r="96" spans="1:16" ht="33.450000000000003">
      <c r="A96" s="142"/>
      <c r="B96" s="467" t="s">
        <v>204</v>
      </c>
      <c r="C96" s="468"/>
      <c r="D96" s="149"/>
      <c r="E96" s="149"/>
      <c r="F96" s="148"/>
      <c r="G96" s="148"/>
      <c r="H96" s="150"/>
      <c r="J96" s="143"/>
      <c r="K96" s="148"/>
      <c r="L96" s="157"/>
      <c r="M96" s="148"/>
      <c r="N96" s="149"/>
      <c r="O96" s="151"/>
    </row>
    <row r="97" spans="1:16" ht="33.450000000000003">
      <c r="A97" s="142"/>
      <c r="B97" s="168"/>
      <c r="C97" s="169"/>
      <c r="D97" s="149"/>
      <c r="E97" s="149"/>
      <c r="F97" s="148"/>
      <c r="G97" s="148"/>
      <c r="H97" s="150"/>
      <c r="J97" s="143"/>
      <c r="K97" s="148"/>
      <c r="L97" s="157"/>
      <c r="M97" s="148"/>
      <c r="N97" s="149"/>
      <c r="O97" s="151"/>
    </row>
    <row r="98" spans="1:16">
      <c r="A98" s="142"/>
      <c r="B98" s="148"/>
      <c r="C98" s="141"/>
      <c r="D98" s="149"/>
      <c r="E98" s="149"/>
      <c r="F98" s="148"/>
      <c r="G98" s="148"/>
      <c r="H98" s="150"/>
      <c r="J98" s="143"/>
      <c r="K98" s="148"/>
      <c r="L98" s="157"/>
      <c r="M98" s="148"/>
      <c r="N98" s="149"/>
      <c r="O98" s="151"/>
    </row>
    <row r="99" spans="1:16">
      <c r="A99" s="148"/>
      <c r="B99" s="148"/>
      <c r="C99" s="148"/>
      <c r="D99" s="141"/>
      <c r="E99" s="149"/>
      <c r="F99" s="149"/>
      <c r="G99" s="148"/>
      <c r="H99" s="148"/>
      <c r="I99" s="150"/>
      <c r="L99" s="141"/>
      <c r="M99" s="141"/>
      <c r="N99" s="141"/>
    </row>
    <row r="100" spans="1:16" ht="45.45">
      <c r="A100" s="459" t="s">
        <v>0</v>
      </c>
      <c r="B100" s="459"/>
      <c r="C100" s="180"/>
      <c r="D100" s="180"/>
      <c r="E100" s="174"/>
      <c r="F100" s="174"/>
      <c r="G100" s="174"/>
      <c r="H100" s="174"/>
      <c r="I100" s="189" t="s">
        <v>1</v>
      </c>
      <c r="J100" s="189" t="s">
        <v>2</v>
      </c>
      <c r="K100" s="269">
        <f>K68</f>
        <v>45962</v>
      </c>
      <c r="L100" s="270" t="s">
        <v>3</v>
      </c>
      <c r="M100" s="269">
        <f>M68</f>
        <v>45991</v>
      </c>
      <c r="N100" s="181"/>
      <c r="O100" s="174"/>
      <c r="P100" s="174"/>
    </row>
    <row r="101" spans="1:16" ht="27.9">
      <c r="A101" s="469" t="s">
        <v>4</v>
      </c>
      <c r="B101" s="469"/>
      <c r="C101" s="267" t="str">
        <f>C6</f>
        <v>Amanda Marcano Bahler</v>
      </c>
      <c r="D101" s="190"/>
      <c r="E101" s="190"/>
      <c r="F101" s="190"/>
      <c r="G101" s="190"/>
      <c r="H101" s="190"/>
      <c r="I101" s="190"/>
      <c r="J101" s="190"/>
      <c r="K101" s="190"/>
      <c r="L101" s="190"/>
      <c r="M101" s="190"/>
      <c r="N101" s="190"/>
      <c r="O101" s="174"/>
      <c r="P101" s="174"/>
    </row>
    <row r="102" spans="1:16" ht="27.9">
      <c r="A102" s="469" t="s">
        <v>5</v>
      </c>
      <c r="B102" s="469"/>
      <c r="C102" s="268"/>
      <c r="D102" s="190"/>
      <c r="E102" s="190"/>
      <c r="F102" s="190"/>
      <c r="G102" s="190"/>
      <c r="H102" s="190"/>
      <c r="I102" s="190"/>
      <c r="J102" s="190"/>
      <c r="K102" s="190"/>
      <c r="L102" s="190" t="str">
        <f>L7</f>
        <v>Horas:</v>
      </c>
      <c r="M102" s="267">
        <f>M7</f>
        <v>192</v>
      </c>
      <c r="N102" s="190"/>
      <c r="O102" s="174"/>
      <c r="P102" s="174"/>
    </row>
    <row r="103" spans="1:16" ht="27.9">
      <c r="A103" s="190"/>
      <c r="B103" s="190"/>
      <c r="C103" s="190"/>
      <c r="D103" s="190"/>
      <c r="E103" s="190"/>
      <c r="F103" s="190"/>
      <c r="G103" s="190"/>
      <c r="H103" s="190"/>
      <c r="I103" s="190"/>
      <c r="J103" s="190"/>
      <c r="K103" s="190"/>
      <c r="L103" s="190"/>
      <c r="M103" s="190"/>
      <c r="N103" s="190"/>
      <c r="O103" s="174"/>
      <c r="P103" s="174"/>
    </row>
    <row r="104" spans="1:16" ht="32.6">
      <c r="A104" s="464" t="s">
        <v>7</v>
      </c>
      <c r="B104" s="464"/>
      <c r="C104" s="264" t="s">
        <v>20</v>
      </c>
      <c r="D104" s="174"/>
      <c r="E104" s="174"/>
      <c r="F104" s="174"/>
      <c r="G104" s="174"/>
      <c r="H104" s="174"/>
      <c r="I104" s="174"/>
      <c r="J104" s="174"/>
      <c r="K104" s="174"/>
      <c r="L104" s="460" t="s">
        <v>9</v>
      </c>
      <c r="M104" s="460"/>
      <c r="N104" s="174"/>
      <c r="O104" s="174"/>
      <c r="P104" s="174"/>
    </row>
    <row r="105" spans="1:16" s="152" customFormat="1" ht="62.6" customHeight="1">
      <c r="A105" s="198" t="s">
        <v>10</v>
      </c>
      <c r="B105" s="198" t="s">
        <v>11</v>
      </c>
      <c r="C105" s="198" t="s">
        <v>12</v>
      </c>
      <c r="D105" s="198" t="s">
        <v>198</v>
      </c>
      <c r="E105" s="198" t="s">
        <v>199</v>
      </c>
      <c r="F105" s="198" t="s">
        <v>13</v>
      </c>
      <c r="G105" s="198" t="s">
        <v>14</v>
      </c>
      <c r="H105" s="199" t="s">
        <v>15</v>
      </c>
      <c r="I105" s="198" t="s">
        <v>197</v>
      </c>
      <c r="J105" s="199" t="s">
        <v>9</v>
      </c>
      <c r="K105" s="199" t="s">
        <v>16</v>
      </c>
      <c r="L105" s="198" t="s">
        <v>196</v>
      </c>
      <c r="M105" s="198" t="s">
        <v>194</v>
      </c>
      <c r="N105" s="198" t="s">
        <v>240</v>
      </c>
      <c r="O105" s="198" t="s">
        <v>241</v>
      </c>
      <c r="P105" s="199" t="s">
        <v>191</v>
      </c>
    </row>
    <row r="106" spans="1:16" ht="77.150000000000006" customHeight="1">
      <c r="A106" s="204">
        <v>51</v>
      </c>
      <c r="B106" s="205" t="str">
        <f>VLOOKUP(Tabla51213141524[[#This Row],[No. Exp]],Tabla6[],2)</f>
        <v xml:space="preserve">Ana Gloria Delgado Rodriguez </v>
      </c>
      <c r="C106" s="204" t="str">
        <f>VLOOKUP(Tabla51213141524[[#This Row],[No. Exp]],Tabla6[],3)</f>
        <v>99082510652</v>
      </c>
      <c r="D106" s="206">
        <v>192</v>
      </c>
      <c r="E106" s="206">
        <f>VLOOKUP(Tabla51213141524[[#This Row],[No. Exp]],Tabla6[],5)</f>
        <v>41.665999999999997</v>
      </c>
      <c r="F106" s="206">
        <f>ROUND(Tabla51213141524[[#This Row],[Horas Trabajadas]]*Tabla51213141524[[#This Row],[Tarifas x horas]],0)</f>
        <v>8000</v>
      </c>
      <c r="G106" s="207"/>
      <c r="H106" s="206">
        <f>Tabla51213141524[[#This Row],[A Cobrar]]+Tabla51213141524[[#This Row],[Bonif]]</f>
        <v>8000</v>
      </c>
      <c r="I106" s="207"/>
      <c r="J106" s="271"/>
      <c r="K106" s="213" cm="1">
        <f t="array" ref="K106">MMULT(Tabla51213141524[[#This Row],[Tarifas x horas]],8)*Tabla51213141524[[#This Row],[Vacaciones]]</f>
        <v>0</v>
      </c>
      <c r="L106" s="210">
        <f>Tabla51213141524[[#This Row],[Sal. Dev]]-Tabla51213141524[[#This Row],[Ausencias]]+Tabla51213141524[[#This Row],[pago x vacaciones]]</f>
        <v>8000</v>
      </c>
      <c r="M106" s="207">
        <f>5%*Tabla51213141524[[#This Row],[Salario Neto]]</f>
        <v>400</v>
      </c>
      <c r="N106" s="206">
        <f>(9510-3260)*3%</f>
        <v>187.5</v>
      </c>
      <c r="O106" s="206"/>
      <c r="P106" s="210">
        <f>Tabla51213141524[[#This Row],[Sal. Dev]]-Tabla51213141524[[#This Row],[Ausencias]]+Tabla51213141524[[#This Row],[pago x vacaciones]]-Tabla51213141524[[#This Row],[importe Seg Social]]-Tabla51213141524[[#This Row],[Imp. Sobr. Ing. Per 3% (3260.00-9510.00)]]</f>
        <v>7412.5</v>
      </c>
    </row>
    <row r="107" spans="1:16" ht="78.45" customHeight="1">
      <c r="A107" s="212">
        <v>53</v>
      </c>
      <c r="B107" s="205" t="str">
        <f>VLOOKUP(Tabla51213141524[[#This Row],[No. Exp]],Tabla6[],2)</f>
        <v>Rowder Fernández Matos</v>
      </c>
      <c r="C107" s="212">
        <f>VLOOKUP(Tabla51213141524[[#This Row],[No. Exp]],Tabla6[],3)</f>
        <v>92102527724</v>
      </c>
      <c r="D107" s="206">
        <v>192</v>
      </c>
      <c r="E107" s="206">
        <f>VLOOKUP(Tabla51213141524[[#This Row],[No. Exp]],Tabla6[],5)</f>
        <v>41.665999999999997</v>
      </c>
      <c r="F107" s="206">
        <f>ROUND(Tabla51213141524[[#This Row],[Horas Trabajadas]]*Tabla51213141524[[#This Row],[Tarifas x horas]],0)</f>
        <v>8000</v>
      </c>
      <c r="G107" s="207"/>
      <c r="H107" s="206">
        <f>Tabla51213141524[[#This Row],[A Cobrar]]+Tabla51213141524[[#This Row],[Bonif]]</f>
        <v>8000</v>
      </c>
      <c r="I107" s="208"/>
      <c r="J107" s="209"/>
      <c r="K107" s="213" cm="1">
        <f t="array" ref="K107">MMULT(Tabla51213141524[[#This Row],[Tarifas x horas]],8)*Tabla51213141524[[#This Row],[Vacaciones]]</f>
        <v>0</v>
      </c>
      <c r="L107" s="210">
        <f>Tabla51213141524[[#This Row],[Sal. Dev]]-Tabla51213141524[[#This Row],[Ausencias]]+Tabla51213141524[[#This Row],[pago x vacaciones]]</f>
        <v>8000</v>
      </c>
      <c r="M107" s="207">
        <f>5%*Tabla51213141524[[#This Row],[Salario Neto]]</f>
        <v>400</v>
      </c>
      <c r="N107" s="206">
        <f t="shared" ref="N107:N109" si="6">(9510-3260)*3%</f>
        <v>187.5</v>
      </c>
      <c r="O107" s="206"/>
      <c r="P107" s="210">
        <f>Tabla51213141524[[#This Row],[Sal. Dev]]-Tabla51213141524[[#This Row],[Ausencias]]+Tabla51213141524[[#This Row],[pago x vacaciones]]-Tabla51213141524[[#This Row],[importe Seg Social]]-Tabla51213141524[[#This Row],[Imp. Sobr. Ing. Per 3% (3260.00-9510.00)]]</f>
        <v>7412.5</v>
      </c>
    </row>
    <row r="108" spans="1:16" ht="69" customHeight="1">
      <c r="A108" s="212">
        <v>54</v>
      </c>
      <c r="B108" s="205" t="str">
        <f>VLOOKUP(Tabla51213141524[[#This Row],[No. Exp]],Tabla6[],2)</f>
        <v>Dael David Rodríguez Noa</v>
      </c>
      <c r="C108" s="212" t="str">
        <f>VLOOKUP(Tabla51213141524[[#This Row],[No. Exp]],Tabla6[],3)</f>
        <v>98022106389</v>
      </c>
      <c r="D108" s="206">
        <v>192</v>
      </c>
      <c r="E108" s="206">
        <f>VLOOKUP(Tabla51213141524[[#This Row],[No. Exp]],Tabla6[],5)</f>
        <v>41.665999999999997</v>
      </c>
      <c r="F108" s="206">
        <f>ROUND(Tabla51213141524[[#This Row],[Horas Trabajadas]]*Tabla51213141524[[#This Row],[Tarifas x horas]],0)</f>
        <v>8000</v>
      </c>
      <c r="G108" s="207"/>
      <c r="H108" s="206">
        <f>Tabla51213141524[[#This Row],[A Cobrar]]+Tabla51213141524[[#This Row],[Bonif]]</f>
        <v>8000</v>
      </c>
      <c r="I108" s="213"/>
      <c r="J108" s="209"/>
      <c r="K108" s="213" cm="1">
        <f t="array" ref="K108">MMULT(Tabla51213141524[[#This Row],[Tarifas x horas]],8)*Tabla51213141524[[#This Row],[Vacaciones]]</f>
        <v>0</v>
      </c>
      <c r="L108" s="210">
        <f>Tabla51213141524[[#This Row],[Sal. Dev]]-Tabla51213141524[[#This Row],[Ausencias]]+Tabla51213141524[[#This Row],[pago x vacaciones]]</f>
        <v>8000</v>
      </c>
      <c r="M108" s="207">
        <f>5%*Tabla51213141524[[#This Row],[Salario Neto]]</f>
        <v>400</v>
      </c>
      <c r="N108" s="206">
        <f t="shared" si="6"/>
        <v>187.5</v>
      </c>
      <c r="O108" s="206"/>
      <c r="P108" s="210">
        <f>Tabla51213141524[[#This Row],[Sal. Dev]]-Tabla51213141524[[#This Row],[Ausencias]]+Tabla51213141524[[#This Row],[pago x vacaciones]]-Tabla51213141524[[#This Row],[importe Seg Social]]-Tabla51213141524[[#This Row],[Imp. Sobr. Ing. Per 3% (3260.00-9510.00)]]</f>
        <v>7412.5</v>
      </c>
    </row>
    <row r="109" spans="1:16" ht="87.45" customHeight="1">
      <c r="A109" s="212">
        <v>55</v>
      </c>
      <c r="B109" s="205" t="str">
        <f>VLOOKUP(Tabla51213141524[[#This Row],[No. Exp]],Tabla6[],2)</f>
        <v>Michel Abreu Pardo</v>
      </c>
      <c r="C109" s="212" t="str">
        <f>VLOOKUP(Tabla51213141524[[#This Row],[No. Exp]],Tabla6[],3)</f>
        <v>87051210029</v>
      </c>
      <c r="D109" s="206">
        <v>192</v>
      </c>
      <c r="E109" s="206">
        <f>VLOOKUP(Tabla51213141524[[#This Row],[No. Exp]],Tabla6[],5)</f>
        <v>41.665999999999997</v>
      </c>
      <c r="F109" s="206">
        <f>ROUND(Tabla51213141524[[#This Row],[Horas Trabajadas]]*Tabla51213141524[[#This Row],[Tarifas x horas]],0)</f>
        <v>8000</v>
      </c>
      <c r="G109" s="207"/>
      <c r="H109" s="206">
        <f>Tabla51213141524[[#This Row],[A Cobrar]]+Tabla51213141524[[#This Row],[Bonif]]</f>
        <v>8000</v>
      </c>
      <c r="I109" s="213"/>
      <c r="J109" s="209"/>
      <c r="K109" s="213" cm="1">
        <f t="array" ref="K109">MMULT(Tabla51213141524[[#This Row],[Tarifas x horas]],8)*Tabla51213141524[[#This Row],[Vacaciones]]</f>
        <v>0</v>
      </c>
      <c r="L109" s="210">
        <f>Tabla51213141524[[#This Row],[Sal. Dev]]-Tabla51213141524[[#This Row],[Ausencias]]+Tabla51213141524[[#This Row],[pago x vacaciones]]</f>
        <v>8000</v>
      </c>
      <c r="M109" s="207">
        <f>5%*Tabla51213141524[[#This Row],[Salario Neto]]</f>
        <v>400</v>
      </c>
      <c r="N109" s="206">
        <f t="shared" si="6"/>
        <v>187.5</v>
      </c>
      <c r="O109" s="206"/>
      <c r="P109" s="210">
        <f>Tabla51213141524[[#This Row],[Sal. Dev]]-Tabla51213141524[[#This Row],[Ausencias]]+Tabla51213141524[[#This Row],[pago x vacaciones]]-Tabla51213141524[[#This Row],[importe Seg Social]]-Tabla51213141524[[#This Row],[Imp. Sobr. Ing. Per 3% (3260.00-9510.00)]]</f>
        <v>7412.5</v>
      </c>
    </row>
    <row r="110" spans="1:16">
      <c r="A110" s="174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93"/>
      <c r="O110" s="193"/>
      <c r="P110" s="174"/>
    </row>
    <row r="111" spans="1:16">
      <c r="A111" s="174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93"/>
      <c r="O111" s="193"/>
      <c r="P111" s="174"/>
    </row>
    <row r="112" spans="1:16">
      <c r="A112" s="174"/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93"/>
      <c r="O112" s="193"/>
      <c r="P112" s="174"/>
    </row>
    <row r="113" spans="1:34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93"/>
      <c r="O113" s="193"/>
      <c r="P113" s="174"/>
    </row>
    <row r="114" spans="1:34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93"/>
      <c r="O114" s="193"/>
      <c r="P114" s="174"/>
    </row>
    <row r="115" spans="1:34">
      <c r="A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93"/>
      <c r="O115" s="193"/>
      <c r="P115" s="174"/>
    </row>
    <row r="116" spans="1:34">
      <c r="A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93"/>
      <c r="O116" s="193"/>
      <c r="P116" s="174"/>
    </row>
    <row r="117" spans="1:34">
      <c r="A117" s="174"/>
      <c r="B117" s="266"/>
      <c r="C117" s="266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93"/>
      <c r="O117" s="193"/>
      <c r="P117" s="174"/>
    </row>
    <row r="118" spans="1:34">
      <c r="A118" s="174"/>
      <c r="B118" s="470" t="s">
        <v>208</v>
      </c>
      <c r="C118" s="470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93"/>
      <c r="O118" s="193"/>
      <c r="P118" s="174"/>
    </row>
    <row r="119" spans="1:34">
      <c r="A119" s="174"/>
      <c r="B119" s="266"/>
      <c r="C119" s="266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93"/>
      <c r="O119" s="193"/>
      <c r="P119" s="174"/>
    </row>
    <row r="120" spans="1:34">
      <c r="A120" s="174"/>
      <c r="B120" s="266"/>
      <c r="C120" s="266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93"/>
      <c r="O120" s="193"/>
      <c r="P120" s="174"/>
    </row>
    <row r="121" spans="1:34">
      <c r="N121" s="155"/>
      <c r="O121" s="155"/>
    </row>
    <row r="122" spans="1:34">
      <c r="N122" s="155"/>
      <c r="O122" s="155"/>
    </row>
    <row r="123" spans="1:34">
      <c r="N123" s="155"/>
      <c r="O123" s="155"/>
    </row>
    <row r="124" spans="1:34" ht="46.3">
      <c r="A124" s="461" t="s">
        <v>0</v>
      </c>
      <c r="B124" s="461"/>
      <c r="C124" s="143"/>
      <c r="D124" s="143"/>
      <c r="I124" s="166" t="s">
        <v>1</v>
      </c>
      <c r="J124" s="166" t="s">
        <v>2</v>
      </c>
      <c r="K124" s="177">
        <f>K100</f>
        <v>45962</v>
      </c>
      <c r="L124" s="178" t="s">
        <v>3</v>
      </c>
      <c r="M124" s="177">
        <f>M100</f>
        <v>45991</v>
      </c>
      <c r="N124" s="155"/>
      <c r="O124" s="155"/>
    </row>
    <row r="125" spans="1:34" ht="28.3">
      <c r="A125" s="462" t="s">
        <v>4</v>
      </c>
      <c r="B125" s="462"/>
      <c r="C125" s="175" t="s">
        <v>223</v>
      </c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274"/>
      <c r="O125" s="274"/>
      <c r="P125" s="163"/>
    </row>
    <row r="126" spans="1:34" ht="28.3">
      <c r="A126" s="163"/>
      <c r="B126" s="163" t="s">
        <v>205</v>
      </c>
      <c r="C126" s="275" t="s">
        <v>206</v>
      </c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274"/>
      <c r="O126" s="274"/>
      <c r="P126" s="163"/>
    </row>
    <row r="127" spans="1:34" ht="35.6">
      <c r="A127" s="471" t="s">
        <v>7</v>
      </c>
      <c r="B127" s="471"/>
      <c r="C127" s="276" t="s">
        <v>21</v>
      </c>
      <c r="D127" s="163"/>
      <c r="E127" s="163"/>
      <c r="F127" s="163"/>
      <c r="G127" s="163"/>
      <c r="H127" s="163"/>
      <c r="I127" s="163"/>
      <c r="J127" s="163"/>
      <c r="K127" s="163"/>
      <c r="L127" s="462" t="s">
        <v>9</v>
      </c>
      <c r="M127" s="462"/>
      <c r="N127" s="163"/>
      <c r="O127" s="163"/>
      <c r="P127" s="163"/>
    </row>
    <row r="128" spans="1:34" s="152" customFormat="1" ht="81.45" customHeight="1">
      <c r="A128" s="221" t="s">
        <v>10</v>
      </c>
      <c r="B128" s="222" t="s">
        <v>11</v>
      </c>
      <c r="C128" s="222" t="s">
        <v>12</v>
      </c>
      <c r="D128" s="222" t="s">
        <v>201</v>
      </c>
      <c r="E128" s="222" t="s">
        <v>199</v>
      </c>
      <c r="F128" s="222" t="s">
        <v>13</v>
      </c>
      <c r="G128" s="222" t="s">
        <v>14</v>
      </c>
      <c r="H128" s="223" t="s">
        <v>15</v>
      </c>
      <c r="I128" s="222" t="s">
        <v>197</v>
      </c>
      <c r="J128" s="222" t="s">
        <v>9</v>
      </c>
      <c r="K128" s="222" t="s">
        <v>16</v>
      </c>
      <c r="L128" s="222" t="s">
        <v>196</v>
      </c>
      <c r="M128" s="222" t="s">
        <v>194</v>
      </c>
      <c r="N128" s="222" t="s">
        <v>240</v>
      </c>
      <c r="O128" s="286" t="s">
        <v>241</v>
      </c>
      <c r="P128" s="224" t="s">
        <v>191</v>
      </c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0"/>
      <c r="AD128" s="140"/>
      <c r="AE128" s="140"/>
      <c r="AF128" s="140"/>
      <c r="AG128" s="140"/>
      <c r="AH128" s="140"/>
    </row>
    <row r="129" spans="1:16" ht="92.6" customHeight="1">
      <c r="A129" s="204">
        <v>56</v>
      </c>
      <c r="B129" s="205" t="str">
        <f>VLOOKUP(Tabla5121314_31625[[#This Row],[No. Exp]],Tabla6[],2)</f>
        <v>María Ofelia Morgado Rodríguez</v>
      </c>
      <c r="C129" s="204">
        <f>VLOOKUP(Tabla5121314_31625[[#This Row],[No. Exp]],Tabla6[],3)</f>
        <v>85090214737</v>
      </c>
      <c r="D129" s="206">
        <v>192</v>
      </c>
      <c r="E129" s="206">
        <f>VLOOKUP(Tabla5121314_31625[[#This Row],[No. Exp]],Tabla6[],5)</f>
        <v>44.27</v>
      </c>
      <c r="F129" s="206">
        <f>ROUND(Tabla5121314_31625[[#This Row],[Horas trabajadas]]*Tabla5121314_31625[[#This Row],[Tarifas x horas]],0)</f>
        <v>8500</v>
      </c>
      <c r="G129" s="207"/>
      <c r="H129" s="206">
        <f>Tabla5121314_31625[[#This Row],[A Cobrar]]+Tabla5121314_31625[[#This Row],[Bonif]]</f>
        <v>8500</v>
      </c>
      <c r="I129" s="207"/>
      <c r="J129" s="209"/>
      <c r="K129" s="207" cm="1">
        <f t="array" ref="K129">MMULT(Tabla5121314_31625[[#This Row],[Tarifas x horas]],8)*Tabla5121314_31625[[#This Row],[Vacaciones]]</f>
        <v>0</v>
      </c>
      <c r="L129" s="206">
        <f>Tabla5121314_31625[[#This Row],[Sal. Dev]]-Tabla5121314_31625[[#This Row],[Ausencias]]+Tabla5121314_31625[[#This Row],[pago x vacaciones]]</f>
        <v>8500</v>
      </c>
      <c r="M129" s="207">
        <f>5%*Tabla5121314_31625[[#This Row],[Salario Neto]]</f>
        <v>425</v>
      </c>
      <c r="N129" s="206">
        <f>(9510-3260)*3%</f>
        <v>187.5</v>
      </c>
      <c r="O129" s="206"/>
      <c r="P129" s="210">
        <f>Tabla5121314_31625[[#This Row],[Sal. Dev]]-Tabla5121314_31625[[#This Row],[Ausencias]]+Tabla5121314_31625[[#This Row],[pago x vacaciones]]-Tabla5121314_31625[[#This Row],[importe Seg Social]]-Tabla5121314_31625[[#This Row],[Imp. Sobr. Ing. Per 3% (3260.00-9510.00)]]</f>
        <v>7887.5</v>
      </c>
    </row>
    <row r="130" spans="1:16" ht="63.9" customHeight="1">
      <c r="A130" s="204">
        <v>57</v>
      </c>
      <c r="B130" s="205" t="str">
        <f>VLOOKUP(Tabla5121314_31625[[#This Row],[No. Exp]],Tabla6[],2)</f>
        <v>Pedro Luis Cruz Luna</v>
      </c>
      <c r="C130" s="204">
        <f>VLOOKUP(Tabla5121314_31625[[#This Row],[No. Exp]],Tabla6[],3)</f>
        <v>67032021083</v>
      </c>
      <c r="D130" s="206">
        <v>192</v>
      </c>
      <c r="E130" s="206">
        <f>VLOOKUP(Tabla5121314_31625[[#This Row],[No. Exp]],Tabla6[],5)</f>
        <v>41.665999999999997</v>
      </c>
      <c r="F130" s="206">
        <f>ROUND(Tabla5121314_31625[[#This Row],[Horas trabajadas]]*Tabla5121314_31625[[#This Row],[Tarifas x horas]],0)</f>
        <v>8000</v>
      </c>
      <c r="G130" s="207"/>
      <c r="H130" s="206">
        <f>Tabla5121314_31625[[#This Row],[A Cobrar]]+Tabla5121314_31625[[#This Row],[Bonif]]</f>
        <v>8000</v>
      </c>
      <c r="I130" s="207"/>
      <c r="J130" s="209"/>
      <c r="K130" s="207" cm="1">
        <f t="array" ref="K130">MMULT(Tabla5121314_31625[[#This Row],[Tarifas x horas]],8)*Tabla5121314_31625[[#This Row],[Vacaciones]]</f>
        <v>0</v>
      </c>
      <c r="L130" s="206">
        <f>Tabla5121314_31625[[#This Row],[Sal. Dev]]-Tabla5121314_31625[[#This Row],[Ausencias]]+Tabla5121314_31625[[#This Row],[pago x vacaciones]]</f>
        <v>8000</v>
      </c>
      <c r="M130" s="207">
        <f>5%*Tabla5121314_31625[[#This Row],[Salario Neto]]</f>
        <v>400</v>
      </c>
      <c r="N130" s="206">
        <f t="shared" ref="N130:N144" si="7">(9510-3260)*3%</f>
        <v>187.5</v>
      </c>
      <c r="O130" s="206"/>
      <c r="P130" s="210">
        <f>Tabla5121314_31625[[#This Row],[Sal. Dev]]-Tabla5121314_31625[[#This Row],[Ausencias]]+Tabla5121314_31625[[#This Row],[pago x vacaciones]]-Tabla5121314_31625[[#This Row],[importe Seg Social]]-Tabla5121314_31625[[#This Row],[Imp. Sobr. Ing. Per 3% (3260.00-9510.00)]]</f>
        <v>7412.5</v>
      </c>
    </row>
    <row r="131" spans="1:16" ht="63.9" customHeight="1">
      <c r="A131" s="212">
        <v>58</v>
      </c>
      <c r="B131" s="225" t="str">
        <f>VLOOKUP(Tabla5121314_31625[[#This Row],[No. Exp]],Tabla6[],2)</f>
        <v>Amanda Valdés Cabrera</v>
      </c>
      <c r="C131" s="212" t="str">
        <f>VLOOKUP(Tabla5121314_31625[[#This Row],[No. Exp]],Tabla6[],3)</f>
        <v>04121272936</v>
      </c>
      <c r="D131" s="206">
        <v>192</v>
      </c>
      <c r="E131" s="226">
        <f>VLOOKUP(Tabla5121314_31625[[#This Row],[No. Exp]],Tabla6[],5)</f>
        <v>41.665999999999997</v>
      </c>
      <c r="F131" s="206">
        <f>ROUND(Tabla5121314_31625[[#This Row],[Horas trabajadas]]*Tabla5121314_31625[[#This Row],[Tarifas x horas]],0)</f>
        <v>8000</v>
      </c>
      <c r="G131" s="207"/>
      <c r="H131" s="206">
        <f>Tabla5121314_31625[[#This Row],[A Cobrar]]+Tabla5121314_31625[[#This Row],[Bonif]]</f>
        <v>8000</v>
      </c>
      <c r="I131" s="208"/>
      <c r="J131" s="209"/>
      <c r="K131" s="207" cm="1">
        <f t="array" ref="K131">MMULT(Tabla5121314_31625[[#This Row],[Tarifas x horas]],8)*Tabla5121314_31625[[#This Row],[Vacaciones]]</f>
        <v>0</v>
      </c>
      <c r="L131" s="206">
        <f>Tabla5121314_31625[[#This Row],[Sal. Dev]]-Tabla5121314_31625[[#This Row],[Ausencias]]+Tabla5121314_31625[[#This Row],[pago x vacaciones]]</f>
        <v>8000</v>
      </c>
      <c r="M131" s="207">
        <f>5%*Tabla5121314_31625[[#This Row],[Salario Neto]]</f>
        <v>400</v>
      </c>
      <c r="N131" s="206">
        <f t="shared" si="7"/>
        <v>187.5</v>
      </c>
      <c r="O131" s="206"/>
      <c r="P131" s="210">
        <f>Tabla5121314_31625[[#This Row],[Sal. Dev]]-Tabla5121314_31625[[#This Row],[Ausencias]]+Tabla5121314_31625[[#This Row],[pago x vacaciones]]-Tabla5121314_31625[[#This Row],[importe Seg Social]]-Tabla5121314_31625[[#This Row],[Imp. Sobr. Ing. Per 3% (3260.00-9510.00)]]</f>
        <v>7412.5</v>
      </c>
    </row>
    <row r="132" spans="1:16" ht="74.150000000000006" customHeight="1">
      <c r="A132" s="212">
        <v>59</v>
      </c>
      <c r="B132" s="205" t="str">
        <f>VLOOKUP(Tabla5121314_31625[[#This Row],[No. Exp]],Tabla6[],2)</f>
        <v>Beatriz González Santana</v>
      </c>
      <c r="C132" s="212" t="str">
        <f>VLOOKUP(Tabla5121314_31625[[#This Row],[No. Exp]],Tabla6[],3)</f>
        <v>96022414792</v>
      </c>
      <c r="D132" s="206">
        <v>192</v>
      </c>
      <c r="E132" s="206">
        <f>VLOOKUP(Tabla5121314_31625[[#This Row],[No. Exp]],Tabla6[],5)</f>
        <v>41.665999999999997</v>
      </c>
      <c r="F132" s="206">
        <f>ROUND(Tabla5121314_31625[[#This Row],[Horas trabajadas]]*Tabla5121314_31625[[#This Row],[Tarifas x horas]],0)</f>
        <v>8000</v>
      </c>
      <c r="G132" s="207"/>
      <c r="H132" s="206">
        <f>Tabla5121314_31625[[#This Row],[A Cobrar]]+Tabla5121314_31625[[#This Row],[Bonif]]</f>
        <v>8000</v>
      </c>
      <c r="I132" s="208"/>
      <c r="J132" s="209"/>
      <c r="K132" s="206" cm="1">
        <f t="array" ref="K132">MMULT(Tabla5121314_31625[[#This Row],[Tarifas x horas]],8)*Tabla5121314_31625[[#This Row],[Vacaciones]]</f>
        <v>0</v>
      </c>
      <c r="L132" s="206">
        <f>Tabla5121314_31625[[#This Row],[Sal. Dev]]-Tabla5121314_31625[[#This Row],[Ausencias]]+Tabla5121314_31625[[#This Row],[pago x vacaciones]]</f>
        <v>8000</v>
      </c>
      <c r="M132" s="207">
        <f>5%*Tabla5121314_31625[[#This Row],[Salario Neto]]</f>
        <v>400</v>
      </c>
      <c r="N132" s="206">
        <f t="shared" si="7"/>
        <v>187.5</v>
      </c>
      <c r="O132" s="206"/>
      <c r="P132" s="210">
        <f>Tabla5121314_31625[[#This Row],[Sal. Dev]]-Tabla5121314_31625[[#This Row],[Ausencias]]+Tabla5121314_31625[[#This Row],[pago x vacaciones]]-Tabla5121314_31625[[#This Row],[importe Seg Social]]-Tabla5121314_31625[[#This Row],[Imp. Sobr. Ing. Per 3% (3260.00-9510.00)]]</f>
        <v>7412.5</v>
      </c>
    </row>
    <row r="133" spans="1:16" ht="55.85" customHeight="1">
      <c r="A133" s="212">
        <v>61</v>
      </c>
      <c r="B133" s="205" t="str">
        <f>VLOOKUP(Tabla5121314_31625[[#This Row],[No. Exp]],Tabla6[],2)</f>
        <v>Lisbet Pina Crespo</v>
      </c>
      <c r="C133" s="212" t="str">
        <f>VLOOKUP(Tabla5121314_31625[[#This Row],[No. Exp]],Tabla6[],3)</f>
        <v>00091472957</v>
      </c>
      <c r="D133" s="206">
        <v>192</v>
      </c>
      <c r="E133" s="206">
        <f>VLOOKUP(Tabla5121314_31625[[#This Row],[No. Exp]],Tabla6[],5)</f>
        <v>41.665999999999997</v>
      </c>
      <c r="F133" s="206">
        <f>ROUND(Tabla5121314_31625[[#This Row],[Horas trabajadas]]*Tabla5121314_31625[[#This Row],[Tarifas x horas]],0)</f>
        <v>8000</v>
      </c>
      <c r="G133" s="207"/>
      <c r="H133" s="206">
        <f>Tabla5121314_31625[[#This Row],[A Cobrar]]+Tabla5121314_31625[[#This Row],[Bonif]]</f>
        <v>8000</v>
      </c>
      <c r="I133" s="213"/>
      <c r="J133" s="209"/>
      <c r="K133" s="207" cm="1">
        <f t="array" ref="K133">MMULT(Tabla5121314_31625[[#This Row],[Tarifas x horas]],8)*Tabla5121314_31625[[#This Row],[Vacaciones]]</f>
        <v>0</v>
      </c>
      <c r="L133" s="206">
        <f>Tabla5121314_31625[[#This Row],[Sal. Dev]]-Tabla5121314_31625[[#This Row],[Ausencias]]+Tabla5121314_31625[[#This Row],[pago x vacaciones]]</f>
        <v>8000</v>
      </c>
      <c r="M133" s="207">
        <f>5%*Tabla5121314_31625[[#This Row],[Salario Neto]]</f>
        <v>400</v>
      </c>
      <c r="N133" s="206">
        <f t="shared" si="7"/>
        <v>187.5</v>
      </c>
      <c r="O133" s="206"/>
      <c r="P133" s="210">
        <f>Tabla5121314_31625[[#This Row],[Sal. Dev]]-Tabla5121314_31625[[#This Row],[Ausencias]]+Tabla5121314_31625[[#This Row],[pago x vacaciones]]-Tabla5121314_31625[[#This Row],[importe Seg Social]]-Tabla5121314_31625[[#This Row],[Imp. Sobr. Ing. Per 3% (3260.00-9510.00)]]</f>
        <v>7412.5</v>
      </c>
    </row>
    <row r="134" spans="1:16" ht="72" customHeight="1">
      <c r="A134" s="212">
        <v>62</v>
      </c>
      <c r="B134" s="205" t="str">
        <f>VLOOKUP(Tabla5121314_31625[[#This Row],[No. Exp]],Tabla6[],2)</f>
        <v>Marlys de la Caridad Rodriguez Santana</v>
      </c>
      <c r="C134" s="212" t="str">
        <f>VLOOKUP(Tabla5121314_31625[[#This Row],[No. Exp]],Tabla6[],3)</f>
        <v>00062372918</v>
      </c>
      <c r="D134" s="206">
        <v>192</v>
      </c>
      <c r="E134" s="206">
        <f>VLOOKUP(Tabla5121314_31625[[#This Row],[No. Exp]],Tabla6[],5)</f>
        <v>41.665999999999997</v>
      </c>
      <c r="F134" s="206">
        <f>ROUND(Tabla5121314_31625[[#This Row],[Horas trabajadas]]*Tabla5121314_31625[[#This Row],[Tarifas x horas]],0)</f>
        <v>8000</v>
      </c>
      <c r="G134" s="207"/>
      <c r="H134" s="206">
        <f>Tabla5121314_31625[[#This Row],[A Cobrar]]+Tabla5121314_31625[[#This Row],[Bonif]]</f>
        <v>8000</v>
      </c>
      <c r="I134" s="213"/>
      <c r="J134" s="209"/>
      <c r="K134" s="207" cm="1">
        <f t="array" ref="K134">MMULT(Tabla5121314_31625[[#This Row],[Tarifas x horas]],8)*Tabla5121314_31625[[#This Row],[Vacaciones]]</f>
        <v>0</v>
      </c>
      <c r="L134" s="206">
        <f>Tabla5121314_31625[[#This Row],[Sal. Dev]]-Tabla5121314_31625[[#This Row],[Ausencias]]+Tabla5121314_31625[[#This Row],[pago x vacaciones]]</f>
        <v>8000</v>
      </c>
      <c r="M134" s="207">
        <f>5%*Tabla5121314_31625[[#This Row],[Salario Neto]]</f>
        <v>400</v>
      </c>
      <c r="N134" s="206">
        <f t="shared" si="7"/>
        <v>187.5</v>
      </c>
      <c r="O134" s="206"/>
      <c r="P134" s="210">
        <f>Tabla5121314_31625[[#This Row],[Sal. Dev]]-Tabla5121314_31625[[#This Row],[Ausencias]]+Tabla5121314_31625[[#This Row],[pago x vacaciones]]-Tabla5121314_31625[[#This Row],[importe Seg Social]]-Tabla5121314_31625[[#This Row],[Imp. Sobr. Ing. Per 3% (3260.00-9510.00)]]</f>
        <v>7412.5</v>
      </c>
    </row>
    <row r="135" spans="1:16" ht="50.15" customHeight="1">
      <c r="A135" s="212">
        <v>63</v>
      </c>
      <c r="B135" s="225" t="str">
        <f>VLOOKUP(Tabla5121314_31625[[#This Row],[No. Exp]],Tabla6[],2)</f>
        <v>Dariel Alberto Pérez Cancio</v>
      </c>
      <c r="C135" s="211">
        <f>VLOOKUP(Tabla5121314_31625[[#This Row],[No. Exp]],Tabla6[],3)</f>
        <v>95061537180</v>
      </c>
      <c r="D135" s="206">
        <v>192</v>
      </c>
      <c r="E135" s="226">
        <f>VLOOKUP(Tabla5121314_31625[[#This Row],[No. Exp]],Tabla6[],5)</f>
        <v>40.625</v>
      </c>
      <c r="F135" s="226">
        <f>ROUND(Tabla5121314_31625[[#This Row],[Horas trabajadas]]*Tabla5121314_31625[[#This Row],[Tarifas x horas]],0)</f>
        <v>7800</v>
      </c>
      <c r="G135" s="213"/>
      <c r="H135" s="281">
        <f>Tabla5121314_31625[[#This Row],[A Cobrar]]+Tabla5121314_31625[[#This Row],[Bonif]]</f>
        <v>7800</v>
      </c>
      <c r="I135" s="213"/>
      <c r="J135" s="209"/>
      <c r="K135" s="207" cm="1">
        <f t="array" ref="K135">MMULT(Tabla5121314_31625[[#This Row],[Tarifas x horas]],8)*Tabla5121314_31625[[#This Row],[Vacaciones]]</f>
        <v>0</v>
      </c>
      <c r="L135" s="206">
        <f>Tabla5121314_31625[[#This Row],[Sal. Dev]]-Tabla5121314_31625[[#This Row],[Ausencias]]+Tabla5121314_31625[[#This Row],[pago x vacaciones]]</f>
        <v>7800</v>
      </c>
      <c r="M135" s="207">
        <f>5%*Tabla5121314_31625[[#This Row],[Salario Neto]]</f>
        <v>390</v>
      </c>
      <c r="N135" s="206">
        <f t="shared" si="7"/>
        <v>187.5</v>
      </c>
      <c r="O135" s="206"/>
      <c r="P135" s="210">
        <f>Tabla5121314_31625[[#This Row],[Sal. Dev]]-Tabla5121314_31625[[#This Row],[Ausencias]]+Tabla5121314_31625[[#This Row],[pago x vacaciones]]-Tabla5121314_31625[[#This Row],[importe Seg Social]]-Tabla5121314_31625[[#This Row],[Imp. Sobr. Ing. Per 3% (3260.00-9510.00)]]</f>
        <v>7222.5</v>
      </c>
    </row>
    <row r="136" spans="1:16" ht="59.6" customHeight="1">
      <c r="A136" s="212">
        <v>65</v>
      </c>
      <c r="B136" s="225" t="str">
        <f>VLOOKUP(Tabla5121314_31625[[#This Row],[No. Exp]],Tabla6[],2)</f>
        <v>Dasiel Hernández García</v>
      </c>
      <c r="C136" s="211">
        <f>VLOOKUP(Tabla5121314_31625[[#This Row],[No. Exp]],Tabla6[],3)</f>
        <v>90083036529</v>
      </c>
      <c r="D136" s="206">
        <v>192</v>
      </c>
      <c r="E136" s="226">
        <f>VLOOKUP(Tabla5121314_31625[[#This Row],[No. Exp]],Tabla6[],5)</f>
        <v>40.625</v>
      </c>
      <c r="F136" s="226">
        <f>ROUND(Tabla5121314_31625[[#This Row],[Horas trabajadas]]*Tabla5121314_31625[[#This Row],[Tarifas x horas]],0)</f>
        <v>7800</v>
      </c>
      <c r="G136" s="213"/>
      <c r="H136" s="281">
        <f>Tabla5121314_31625[[#This Row],[A Cobrar]]+Tabla5121314_31625[[#This Row],[Bonif]]</f>
        <v>7800</v>
      </c>
      <c r="I136" s="213"/>
      <c r="J136" s="209"/>
      <c r="K136" s="207" cm="1">
        <f t="array" ref="K136">MMULT(Tabla5121314_31625[[#This Row],[Tarifas x horas]],8)*Tabla5121314_31625[[#This Row],[Vacaciones]]</f>
        <v>0</v>
      </c>
      <c r="L136" s="206">
        <f>Tabla5121314_31625[[#This Row],[Sal. Dev]]-Tabla5121314_31625[[#This Row],[Ausencias]]+Tabla5121314_31625[[#This Row],[pago x vacaciones]]</f>
        <v>7800</v>
      </c>
      <c r="M136" s="207">
        <f>5%*Tabla5121314_31625[[#This Row],[Salario Neto]]</f>
        <v>390</v>
      </c>
      <c r="N136" s="206">
        <f t="shared" si="7"/>
        <v>187.5</v>
      </c>
      <c r="O136" s="206"/>
      <c r="P136" s="210">
        <f>Tabla5121314_31625[[#This Row],[Sal. Dev]]-Tabla5121314_31625[[#This Row],[Ausencias]]+Tabla5121314_31625[[#This Row],[pago x vacaciones]]-Tabla5121314_31625[[#This Row],[importe Seg Social]]-Tabla5121314_31625[[#This Row],[Imp. Sobr. Ing. Per 3% (3260.00-9510.00)]]</f>
        <v>7222.5</v>
      </c>
    </row>
    <row r="137" spans="1:16" ht="58.3" customHeight="1">
      <c r="A137" s="212">
        <v>66</v>
      </c>
      <c r="B137" s="225" t="str">
        <f>VLOOKUP(Tabla5121314_31625[[#This Row],[No. Exp]],Tabla6[],2)</f>
        <v>Oscar Reyes García</v>
      </c>
      <c r="C137" s="211">
        <f>VLOOKUP(Tabla5121314_31625[[#This Row],[No. Exp]],Tabla6[],3)</f>
        <v>96070314742</v>
      </c>
      <c r="D137" s="206">
        <v>192</v>
      </c>
      <c r="E137" s="226">
        <f>VLOOKUP(Tabla5121314_31625[[#This Row],[No. Exp]],Tabla6[],5)</f>
        <v>40.625</v>
      </c>
      <c r="F137" s="226">
        <f>ROUND(Tabla5121314_31625[[#This Row],[Horas trabajadas]]*Tabla5121314_31625[[#This Row],[Tarifas x horas]],0)</f>
        <v>7800</v>
      </c>
      <c r="G137" s="213"/>
      <c r="H137" s="281">
        <f>Tabla5121314_31625[[#This Row],[A Cobrar]]+Tabla5121314_31625[[#This Row],[Bonif]]</f>
        <v>7800</v>
      </c>
      <c r="I137" s="213"/>
      <c r="J137" s="209"/>
      <c r="K137" s="207" cm="1">
        <f t="array" ref="K137">MMULT(Tabla5121314_31625[[#This Row],[Tarifas x horas]],8)*Tabla5121314_31625[[#This Row],[Vacaciones]]</f>
        <v>0</v>
      </c>
      <c r="L137" s="206">
        <f>Tabla5121314_31625[[#This Row],[Sal. Dev]]-Tabla5121314_31625[[#This Row],[Ausencias]]+Tabla5121314_31625[[#This Row],[pago x vacaciones]]</f>
        <v>7800</v>
      </c>
      <c r="M137" s="207">
        <f>5%*Tabla5121314_31625[[#This Row],[Salario Neto]]</f>
        <v>390</v>
      </c>
      <c r="N137" s="206">
        <f t="shared" si="7"/>
        <v>187.5</v>
      </c>
      <c r="O137" s="206"/>
      <c r="P137" s="210">
        <f>Tabla5121314_31625[[#This Row],[Sal. Dev]]-Tabla5121314_31625[[#This Row],[Ausencias]]+Tabla5121314_31625[[#This Row],[pago x vacaciones]]-Tabla5121314_31625[[#This Row],[importe Seg Social]]-Tabla5121314_31625[[#This Row],[Imp. Sobr. Ing. Per 3% (3260.00-9510.00)]]</f>
        <v>7222.5</v>
      </c>
    </row>
    <row r="138" spans="1:16" ht="58.3" customHeight="1">
      <c r="A138" s="212">
        <v>67</v>
      </c>
      <c r="B138" s="225" t="str">
        <f>VLOOKUP(Tabla5121314_31625[[#This Row],[No. Exp]],Tabla6[],2)</f>
        <v>Junior Pérez Ramos</v>
      </c>
      <c r="C138" s="211">
        <f>VLOOKUP(Tabla5121314_31625[[#This Row],[No. Exp]],Tabla6[],3)</f>
        <v>84021714745</v>
      </c>
      <c r="D138" s="206">
        <v>192</v>
      </c>
      <c r="E138" s="226">
        <f>VLOOKUP(Tabla5121314_31625[[#This Row],[No. Exp]],Tabla6[],5)</f>
        <v>40.625</v>
      </c>
      <c r="F138" s="226">
        <f>ROUND(Tabla5121314_31625[[#This Row],[Horas trabajadas]]*Tabla5121314_31625[[#This Row],[Tarifas x horas]],0)</f>
        <v>7800</v>
      </c>
      <c r="G138" s="213"/>
      <c r="H138" s="281">
        <f>Tabla5121314_31625[[#This Row],[A Cobrar]]+Tabla5121314_31625[[#This Row],[Bonif]]</f>
        <v>7800</v>
      </c>
      <c r="I138" s="213"/>
      <c r="J138" s="209"/>
      <c r="K138" s="206" cm="1">
        <f t="array" ref="K138">MMULT(Tabla5121314_31625[[#This Row],[Tarifas x horas]],8)*Tabla5121314_31625[[#This Row],[Vacaciones]]</f>
        <v>0</v>
      </c>
      <c r="L138" s="206">
        <f>Tabla5121314_31625[[#This Row],[Sal. Dev]]-Tabla5121314_31625[[#This Row],[Ausencias]]+Tabla5121314_31625[[#This Row],[pago x vacaciones]]</f>
        <v>7800</v>
      </c>
      <c r="M138" s="207">
        <f>5%*Tabla5121314_31625[[#This Row],[Salario Neto]]</f>
        <v>390</v>
      </c>
      <c r="N138" s="206">
        <f t="shared" si="7"/>
        <v>187.5</v>
      </c>
      <c r="O138" s="206"/>
      <c r="P138" s="210">
        <f>Tabla5121314_31625[[#This Row],[Sal. Dev]]-Tabla5121314_31625[[#This Row],[Ausencias]]+Tabla5121314_31625[[#This Row],[pago x vacaciones]]-Tabla5121314_31625[[#This Row],[importe Seg Social]]-Tabla5121314_31625[[#This Row],[Imp. Sobr. Ing. Per 3% (3260.00-9510.00)]]</f>
        <v>7222.5</v>
      </c>
    </row>
    <row r="139" spans="1:16" ht="63.45" customHeight="1">
      <c r="A139" s="212">
        <v>68</v>
      </c>
      <c r="B139" s="225" t="str">
        <f>VLOOKUP(Tabla5121314_31625[[#This Row],[No. Exp]],Tabla6[],2)</f>
        <v>Dayron Angel Pérez Chirino</v>
      </c>
      <c r="C139" s="211" t="str">
        <f>VLOOKUP(Tabla5121314_31625[[#This Row],[No. Exp]],Tabla6[],3)</f>
        <v>03113073183</v>
      </c>
      <c r="D139" s="206">
        <v>192</v>
      </c>
      <c r="E139" s="226">
        <f>VLOOKUP(Tabla5121314_31625[[#This Row],[No. Exp]],Tabla6[],5)</f>
        <v>40.625</v>
      </c>
      <c r="F139" s="226">
        <f>ROUND(Tabla5121314_31625[[#This Row],[Horas trabajadas]]*Tabla5121314_31625[[#This Row],[Tarifas x horas]],0)</f>
        <v>7800</v>
      </c>
      <c r="G139" s="213"/>
      <c r="H139" s="281">
        <f>Tabla5121314_31625[[#This Row],[A Cobrar]]+Tabla5121314_31625[[#This Row],[Bonif]]</f>
        <v>7800</v>
      </c>
      <c r="I139" s="213"/>
      <c r="J139" s="209"/>
      <c r="K139" s="207" cm="1">
        <f t="array" ref="K139">MMULT(Tabla5121314_31625[[#This Row],[Tarifas x horas]],8)*Tabla5121314_31625[[#This Row],[Vacaciones]]</f>
        <v>0</v>
      </c>
      <c r="L139" s="206">
        <f>Tabla5121314_31625[[#This Row],[Sal. Dev]]-Tabla5121314_31625[[#This Row],[Ausencias]]+Tabla5121314_31625[[#This Row],[pago x vacaciones]]</f>
        <v>7800</v>
      </c>
      <c r="M139" s="207">
        <f>5%*Tabla5121314_31625[[#This Row],[Salario Neto]]</f>
        <v>390</v>
      </c>
      <c r="N139" s="206">
        <f t="shared" si="7"/>
        <v>187.5</v>
      </c>
      <c r="O139" s="206"/>
      <c r="P139" s="210">
        <f>Tabla5121314_31625[[#This Row],[Sal. Dev]]-Tabla5121314_31625[[#This Row],[Ausencias]]+Tabla5121314_31625[[#This Row],[pago x vacaciones]]-Tabla5121314_31625[[#This Row],[importe Seg Social]]-Tabla5121314_31625[[#This Row],[Imp. Sobr. Ing. Per 3% (3260.00-9510.00)]]</f>
        <v>7222.5</v>
      </c>
    </row>
    <row r="140" spans="1:16" ht="57" customHeight="1">
      <c r="A140" s="212">
        <v>70</v>
      </c>
      <c r="B140" s="225" t="str">
        <f>VLOOKUP(Tabla5121314_31625[[#This Row],[No. Exp]],Tabla6[],2)</f>
        <v>Juan Carlos Pérez Morales</v>
      </c>
      <c r="C140" s="211" t="str">
        <f>VLOOKUP(Tabla5121314_31625[[#This Row],[No. Exp]],Tabla6[],3)</f>
        <v>97101013044</v>
      </c>
      <c r="D140" s="206">
        <v>192</v>
      </c>
      <c r="E140" s="226">
        <f>VLOOKUP(Tabla5121314_31625[[#This Row],[No. Exp]],Tabla6[],5)</f>
        <v>40.625</v>
      </c>
      <c r="F140" s="226">
        <f>ROUND(Tabla5121314_31625[[#This Row],[Horas trabajadas]]*Tabla5121314_31625[[#This Row],[Tarifas x horas]],0)</f>
        <v>7800</v>
      </c>
      <c r="G140" s="213"/>
      <c r="H140" s="281">
        <f>Tabla5121314_31625[[#This Row],[A Cobrar]]+Tabla5121314_31625[[#This Row],[Bonif]]</f>
        <v>7800</v>
      </c>
      <c r="I140" s="213"/>
      <c r="J140" s="209"/>
      <c r="K140" s="207" cm="1">
        <f t="array" ref="K140">MMULT(Tabla5121314_31625[[#This Row],[Tarifas x horas]],8)*Tabla5121314_31625[[#This Row],[Vacaciones]]</f>
        <v>0</v>
      </c>
      <c r="L140" s="206">
        <f>Tabla5121314_31625[[#This Row],[Sal. Dev]]-Tabla5121314_31625[[#This Row],[Ausencias]]+Tabla5121314_31625[[#This Row],[pago x vacaciones]]</f>
        <v>7800</v>
      </c>
      <c r="M140" s="207">
        <f>5%*Tabla5121314_31625[[#This Row],[Salario Neto]]</f>
        <v>390</v>
      </c>
      <c r="N140" s="206">
        <f t="shared" si="7"/>
        <v>187.5</v>
      </c>
      <c r="O140" s="206"/>
      <c r="P140" s="210">
        <f>Tabla5121314_31625[[#This Row],[Sal. Dev]]-Tabla5121314_31625[[#This Row],[Ausencias]]+Tabla5121314_31625[[#This Row],[pago x vacaciones]]-Tabla5121314_31625[[#This Row],[importe Seg Social]]-Tabla5121314_31625[[#This Row],[Imp. Sobr. Ing. Per 3% (3260.00-9510.00)]]</f>
        <v>7222.5</v>
      </c>
    </row>
    <row r="141" spans="1:16" ht="58.3" customHeight="1">
      <c r="A141" s="212">
        <v>71</v>
      </c>
      <c r="B141" s="225" t="str">
        <f>VLOOKUP(Tabla5121314_31625[[#This Row],[No. Exp]],Tabla6[],2)</f>
        <v>Andrea Otero Díaz</v>
      </c>
      <c r="C141" s="211" t="str">
        <f>VLOOKUP(Tabla5121314_31625[[#This Row],[No. Exp]],Tabla6[],3)</f>
        <v>70021324130</v>
      </c>
      <c r="D141" s="206">
        <v>192</v>
      </c>
      <c r="E141" s="226">
        <f>VLOOKUP(Tabla5121314_31625[[#This Row],[No. Exp]],Tabla6[],5)</f>
        <v>39.06</v>
      </c>
      <c r="F141" s="226">
        <f>ROUND(Tabla5121314_31625[[#This Row],[Horas trabajadas]]*Tabla5121314_31625[[#This Row],[Tarifas x horas]],0)</f>
        <v>7500</v>
      </c>
      <c r="G141" s="213"/>
      <c r="H141" s="281">
        <f>Tabla5121314_31625[[#This Row],[A Cobrar]]+Tabla5121314_31625[[#This Row],[Bonif]]</f>
        <v>7500</v>
      </c>
      <c r="I141" s="213"/>
      <c r="J141" s="209"/>
      <c r="K141" s="207" cm="1">
        <f t="array" ref="K141">MMULT(Tabla5121314_31625[[#This Row],[Tarifas x horas]],8)*Tabla5121314_31625[[#This Row],[Vacaciones]]</f>
        <v>0</v>
      </c>
      <c r="L141" s="206">
        <f>Tabla5121314_31625[[#This Row],[Sal. Dev]]-Tabla5121314_31625[[#This Row],[Ausencias]]+Tabla5121314_31625[[#This Row],[pago x vacaciones]]</f>
        <v>7500</v>
      </c>
      <c r="M141" s="207">
        <f>5%*Tabla5121314_31625[[#This Row],[Salario Neto]]</f>
        <v>375</v>
      </c>
      <c r="N141" s="206">
        <f t="shared" si="7"/>
        <v>187.5</v>
      </c>
      <c r="O141" s="206"/>
      <c r="P141" s="210">
        <f>Tabla5121314_31625[[#This Row],[Sal. Dev]]-Tabla5121314_31625[[#This Row],[Ausencias]]+Tabla5121314_31625[[#This Row],[pago x vacaciones]]-Tabla5121314_31625[[#This Row],[importe Seg Social]]-Tabla5121314_31625[[#This Row],[Imp. Sobr. Ing. Per 3% (3260.00-9510.00)]]</f>
        <v>6937.5</v>
      </c>
    </row>
    <row r="142" spans="1:16" ht="59.6" customHeight="1">
      <c r="A142" s="212">
        <v>97</v>
      </c>
      <c r="B142" s="225" t="str">
        <f>VLOOKUP(Tabla5121314_31625[[#This Row],[No. Exp]],Tabla6[],2)</f>
        <v xml:space="preserve">Linier Lazo Camero </v>
      </c>
      <c r="C142" s="211">
        <f>VLOOKUP(Tabla5121314_31625[[#This Row],[No. Exp]],Tabla6[],3)</f>
        <v>92032937021</v>
      </c>
      <c r="D142" s="206">
        <v>192</v>
      </c>
      <c r="E142" s="226">
        <f>VLOOKUP(Tabla5121314_31625[[#This Row],[No. Exp]],Tabla6[],5)</f>
        <v>40.625</v>
      </c>
      <c r="F142" s="226">
        <f>ROUND(Tabla5121314_31625[[#This Row],[Horas trabajadas]]*Tabla5121314_31625[[#This Row],[Tarifas x horas]],0)</f>
        <v>7800</v>
      </c>
      <c r="G142" s="213"/>
      <c r="H142" s="281">
        <f>Tabla5121314_31625[[#This Row],[A Cobrar]]+Tabla5121314_31625[[#This Row],[Bonif]]</f>
        <v>7800</v>
      </c>
      <c r="I142" s="213"/>
      <c r="J142" s="209"/>
      <c r="K142" s="207" cm="1">
        <f t="array" ref="K142">MMULT(Tabla5121314_31625[[#This Row],[Tarifas x horas]],8)*Tabla5121314_31625[[#This Row],[Vacaciones]]</f>
        <v>0</v>
      </c>
      <c r="L142" s="206">
        <f>Tabla5121314_31625[[#This Row],[Sal. Dev]]-Tabla5121314_31625[[#This Row],[Ausencias]]+Tabla5121314_31625[[#This Row],[pago x vacaciones]]</f>
        <v>7800</v>
      </c>
      <c r="M142" s="207">
        <f>5%*Tabla5121314_31625[[#This Row],[Salario Neto]]</f>
        <v>390</v>
      </c>
      <c r="N142" s="206">
        <f t="shared" si="7"/>
        <v>187.5</v>
      </c>
      <c r="O142" s="206"/>
      <c r="P142" s="210">
        <f>Tabla5121314_31625[[#This Row],[Sal. Dev]]-Tabla5121314_31625[[#This Row],[Ausencias]]+Tabla5121314_31625[[#This Row],[pago x vacaciones]]-Tabla5121314_31625[[#This Row],[importe Seg Social]]-Tabla5121314_31625[[#This Row],[Imp. Sobr. Ing. Per 3% (3260.00-9510.00)]]</f>
        <v>7222.5</v>
      </c>
    </row>
    <row r="143" spans="1:16" ht="66.45" customHeight="1">
      <c r="A143" s="212">
        <v>99</v>
      </c>
      <c r="B143" s="225" t="str">
        <f>VLOOKUP(Tabla5121314_31625[[#This Row],[No. Exp]],Tabla6[],2)</f>
        <v>Rachel Martell Salabarria</v>
      </c>
      <c r="C143" s="211">
        <f>VLOOKUP(Tabla5121314_31625[[#This Row],[No. Exp]],Tabla6[],3)</f>
        <v>97091913233</v>
      </c>
      <c r="D143" s="206">
        <v>192</v>
      </c>
      <c r="E143" s="226">
        <f>VLOOKUP(Tabla5121314_31625[[#This Row],[No. Exp]],Tabla6[],5)</f>
        <v>41.665999999999997</v>
      </c>
      <c r="F143" s="226">
        <f>ROUND(Tabla5121314_31625[[#This Row],[Horas trabajadas]]*Tabla5121314_31625[[#This Row],[Tarifas x horas]],0)</f>
        <v>8000</v>
      </c>
      <c r="G143" s="213"/>
      <c r="H143" s="281">
        <f>Tabla5121314_31625[[#This Row],[A Cobrar]]+Tabla5121314_31625[[#This Row],[Bonif]]</f>
        <v>8000</v>
      </c>
      <c r="I143" s="213"/>
      <c r="J143" s="209"/>
      <c r="K143" s="207" cm="1">
        <f t="array" ref="K143">MMULT(Tabla5121314_31625[[#This Row],[Tarifas x horas]],8)*Tabla5121314_31625[[#This Row],[Vacaciones]]</f>
        <v>0</v>
      </c>
      <c r="L143" s="206">
        <f>Tabla5121314_31625[[#This Row],[Sal. Dev]]-Tabla5121314_31625[[#This Row],[Ausencias]]+Tabla5121314_31625[[#This Row],[pago x vacaciones]]</f>
        <v>8000</v>
      </c>
      <c r="M143" s="207">
        <f>5%*Tabla5121314_31625[[#This Row],[Salario Neto]]</f>
        <v>400</v>
      </c>
      <c r="N143" s="206">
        <f t="shared" si="7"/>
        <v>187.5</v>
      </c>
      <c r="O143" s="206"/>
      <c r="P143" s="210">
        <f>Tabla5121314_31625[[#This Row],[Sal. Dev]]-Tabla5121314_31625[[#This Row],[Ausencias]]+Tabla5121314_31625[[#This Row],[pago x vacaciones]]-Tabla5121314_31625[[#This Row],[importe Seg Social]]-Tabla5121314_31625[[#This Row],[Imp. Sobr. Ing. Per 3% (3260.00-9510.00)]]</f>
        <v>7412.5</v>
      </c>
    </row>
    <row r="144" spans="1:16" ht="58.3" customHeight="1">
      <c r="A144" s="212">
        <v>125</v>
      </c>
      <c r="B144" s="225" t="str">
        <f>VLOOKUP(Tabla5121314_31625[[#This Row],[No. Exp]],Tabla6[],2)</f>
        <v xml:space="preserve">Juan Ramón Alonso Benítez </v>
      </c>
      <c r="C144" s="211">
        <f>VLOOKUP(Tabla5121314_31625[[#This Row],[No. Exp]],Tabla6[],3)</f>
        <v>61102003523</v>
      </c>
      <c r="D144" s="206">
        <v>192</v>
      </c>
      <c r="E144" s="226">
        <f>VLOOKUP(Tabla5121314_31625[[#This Row],[No. Exp]],Tabla6[],5)</f>
        <v>40.103999999999999</v>
      </c>
      <c r="F144" s="226">
        <f>ROUND(Tabla5121314_31625[[#This Row],[Horas trabajadas]]*Tabla5121314_31625[[#This Row],[Tarifas x horas]],0)</f>
        <v>7700</v>
      </c>
      <c r="G144" s="213"/>
      <c r="H144" s="281">
        <f>Tabla5121314_31625[[#This Row],[A Cobrar]]+Tabla5121314_31625[[#This Row],[Bonif]]</f>
        <v>7700</v>
      </c>
      <c r="I144" s="213"/>
      <c r="J144" s="209"/>
      <c r="K144" s="207" cm="1">
        <f t="array" ref="K144">MMULT(Tabla5121314_31625[[#This Row],[Tarifas x horas]],8)*Tabla5121314_31625[[#This Row],[Vacaciones]]</f>
        <v>0</v>
      </c>
      <c r="L144" s="206">
        <f>Tabla5121314_31625[[#This Row],[Sal. Dev]]-Tabla5121314_31625[[#This Row],[Ausencias]]+Tabla5121314_31625[[#This Row],[pago x vacaciones]]</f>
        <v>7700</v>
      </c>
      <c r="M144" s="207">
        <f>5%*Tabla5121314_31625[[#This Row],[Salario Neto]]</f>
        <v>385</v>
      </c>
      <c r="N144" s="206">
        <f t="shared" si="7"/>
        <v>187.5</v>
      </c>
      <c r="O144" s="206"/>
      <c r="P144" s="210">
        <f>Tabla5121314_31625[[#This Row],[Sal. Dev]]-Tabla5121314_31625[[#This Row],[Ausencias]]+Tabla5121314_31625[[#This Row],[pago x vacaciones]]-Tabla5121314_31625[[#This Row],[importe Seg Social]]-Tabla5121314_31625[[#This Row],[Imp. Sobr. Ing. Per 3% (3260.00-9510.00)]]</f>
        <v>7127.5</v>
      </c>
    </row>
    <row r="145" spans="1:18">
      <c r="D145" s="149"/>
      <c r="E145" s="156"/>
      <c r="J145" s="143"/>
      <c r="K145" s="148"/>
      <c r="L145" s="148"/>
      <c r="M145" s="148"/>
      <c r="N145" s="149"/>
      <c r="O145" s="157"/>
    </row>
    <row r="146" spans="1:18">
      <c r="A146" s="155"/>
      <c r="D146" s="149"/>
      <c r="E146" s="156"/>
      <c r="F146" s="159"/>
      <c r="H146" s="144"/>
      <c r="J146" s="143"/>
      <c r="K146" s="148"/>
      <c r="L146" s="148"/>
      <c r="M146" s="148"/>
      <c r="N146" s="149"/>
      <c r="O146" s="151"/>
    </row>
    <row r="147" spans="1:18">
      <c r="A147" s="155"/>
      <c r="D147" s="149"/>
      <c r="E147" s="156"/>
      <c r="F147" s="159"/>
      <c r="H147" s="144"/>
      <c r="J147" s="143"/>
      <c r="K147" s="148"/>
      <c r="L147" s="148"/>
      <c r="M147" s="148"/>
      <c r="N147" s="149"/>
      <c r="O147" s="151"/>
    </row>
    <row r="148" spans="1:18">
      <c r="A148" s="155"/>
      <c r="D148" s="149"/>
      <c r="E148" s="156"/>
      <c r="F148" s="159"/>
      <c r="H148" s="144"/>
      <c r="J148" s="143"/>
      <c r="K148" s="148"/>
      <c r="L148" s="148"/>
      <c r="M148" s="148"/>
      <c r="N148" s="149"/>
      <c r="O148" s="151"/>
    </row>
    <row r="149" spans="1:18" ht="26.15" customHeight="1">
      <c r="A149" s="155"/>
      <c r="C149" s="277"/>
      <c r="D149" s="149"/>
      <c r="E149" s="156"/>
      <c r="F149" s="159"/>
      <c r="H149" s="144"/>
      <c r="J149" s="143"/>
      <c r="K149" s="148"/>
      <c r="L149" s="148"/>
      <c r="M149" s="148"/>
      <c r="N149" s="149"/>
      <c r="O149" s="151"/>
    </row>
    <row r="150" spans="1:18" ht="26.15" customHeight="1">
      <c r="A150" s="155"/>
      <c r="B150" s="277"/>
      <c r="C150" s="277"/>
      <c r="D150" s="149"/>
      <c r="E150" s="156"/>
      <c r="F150" s="159"/>
      <c r="H150" s="144"/>
      <c r="J150" s="143"/>
      <c r="K150" s="148"/>
      <c r="L150" s="148"/>
      <c r="M150" s="148"/>
      <c r="N150" s="149"/>
      <c r="O150" s="151"/>
    </row>
    <row r="151" spans="1:18" ht="26.15" customHeight="1">
      <c r="A151" s="155"/>
      <c r="B151" s="277"/>
      <c r="C151" s="277"/>
      <c r="D151" s="149"/>
      <c r="E151" s="156"/>
      <c r="F151" s="159"/>
      <c r="H151" s="144"/>
      <c r="J151" s="143"/>
      <c r="K151" s="148"/>
      <c r="L151" s="148"/>
      <c r="M151" s="148"/>
      <c r="N151" s="149"/>
      <c r="O151" s="151"/>
    </row>
    <row r="152" spans="1:18" ht="26.15" customHeight="1">
      <c r="A152" s="155"/>
      <c r="B152" s="277" t="s">
        <v>208</v>
      </c>
      <c r="C152" s="277"/>
      <c r="D152" s="149"/>
      <c r="E152" s="156"/>
      <c r="F152" s="159"/>
      <c r="H152" s="144"/>
      <c r="J152" s="143"/>
      <c r="K152" s="148"/>
      <c r="L152" s="148"/>
      <c r="M152" s="148"/>
      <c r="N152" s="149"/>
      <c r="O152" s="151"/>
    </row>
    <row r="153" spans="1:18">
      <c r="A153" s="174"/>
      <c r="B153" s="174"/>
      <c r="C153" s="174"/>
      <c r="D153" s="174"/>
      <c r="E153" s="174"/>
      <c r="F153" s="195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</row>
    <row r="154" spans="1:18" ht="45.45">
      <c r="A154" s="459" t="s">
        <v>0</v>
      </c>
      <c r="B154" s="459"/>
      <c r="C154" s="180"/>
      <c r="D154" s="180"/>
      <c r="E154" s="174"/>
      <c r="F154" s="174"/>
      <c r="G154" s="174"/>
      <c r="H154" s="174"/>
      <c r="I154" s="181" t="s">
        <v>1</v>
      </c>
      <c r="J154" s="181" t="s">
        <v>2</v>
      </c>
      <c r="K154" s="182">
        <f>K124</f>
        <v>45962</v>
      </c>
      <c r="L154" s="183" t="s">
        <v>3</v>
      </c>
      <c r="M154" s="182">
        <f>M124</f>
        <v>45991</v>
      </c>
      <c r="N154" s="181"/>
      <c r="O154" s="174"/>
      <c r="P154" s="174"/>
    </row>
    <row r="155" spans="1:18">
      <c r="A155" s="460" t="s">
        <v>4</v>
      </c>
      <c r="B155" s="460"/>
      <c r="C155" s="184" t="str">
        <f>C125</f>
        <v>Amanda Marcano Bahler</v>
      </c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</row>
    <row r="156" spans="1:18">
      <c r="A156" s="460" t="s">
        <v>5</v>
      </c>
      <c r="B156" s="460"/>
      <c r="C156" s="185"/>
      <c r="D156" s="174"/>
      <c r="E156" s="174"/>
      <c r="F156" s="174"/>
      <c r="G156" s="174"/>
      <c r="H156" s="174"/>
      <c r="I156" s="174"/>
      <c r="J156" s="174"/>
      <c r="K156" s="174"/>
      <c r="L156" s="174" t="s">
        <v>207</v>
      </c>
      <c r="M156" s="184">
        <v>192</v>
      </c>
      <c r="N156" s="174"/>
      <c r="O156" s="174"/>
      <c r="P156" s="174"/>
    </row>
    <row r="157" spans="1:18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</row>
    <row r="158" spans="1:18">
      <c r="A158" s="464" t="s">
        <v>7</v>
      </c>
      <c r="B158" s="464"/>
      <c r="C158" s="186" t="s">
        <v>22</v>
      </c>
      <c r="D158" s="174"/>
      <c r="E158" s="174"/>
      <c r="F158" s="174"/>
      <c r="G158" s="174"/>
      <c r="H158" s="174"/>
      <c r="I158" s="174"/>
      <c r="J158" s="174"/>
      <c r="K158" s="174"/>
      <c r="L158" s="460" t="s">
        <v>9</v>
      </c>
      <c r="M158" s="460"/>
      <c r="N158" s="174"/>
      <c r="O158" s="174"/>
      <c r="P158" s="174"/>
    </row>
    <row r="159" spans="1:18" s="152" customFormat="1" ht="76.3" customHeight="1">
      <c r="A159" s="198" t="s">
        <v>10</v>
      </c>
      <c r="B159" s="198" t="s">
        <v>11</v>
      </c>
      <c r="C159" s="198" t="s">
        <v>12</v>
      </c>
      <c r="D159" s="198" t="s">
        <v>201</v>
      </c>
      <c r="E159" s="198" t="s">
        <v>200</v>
      </c>
      <c r="F159" s="198" t="s">
        <v>13</v>
      </c>
      <c r="G159" s="198" t="s">
        <v>14</v>
      </c>
      <c r="H159" s="199" t="s">
        <v>15</v>
      </c>
      <c r="I159" s="198" t="s">
        <v>197</v>
      </c>
      <c r="J159" s="198" t="s">
        <v>9</v>
      </c>
      <c r="K159" s="198" t="s">
        <v>16</v>
      </c>
      <c r="L159" s="198" t="s">
        <v>196</v>
      </c>
      <c r="M159" s="198" t="s">
        <v>194</v>
      </c>
      <c r="N159" s="198" t="s">
        <v>240</v>
      </c>
      <c r="O159" s="198" t="s">
        <v>241</v>
      </c>
      <c r="P159" s="199" t="s">
        <v>191</v>
      </c>
      <c r="Q159" s="140"/>
      <c r="R159" s="161"/>
    </row>
    <row r="160" spans="1:18" s="158" customFormat="1" ht="67.3" customHeight="1">
      <c r="A160" s="392">
        <v>73</v>
      </c>
      <c r="B160" s="393" t="str">
        <f>VLOOKUP(Tabla5121314_341726[[#This Row],[No. Exp]],Tabla6[],2)</f>
        <v>Rafael Tamarit Duany</v>
      </c>
      <c r="C160" s="392">
        <f>VLOOKUP(Tabla5121314_341726[[#This Row],[No. Exp]],Tabla6[],3)</f>
        <v>91061428505</v>
      </c>
      <c r="D160" s="306">
        <v>192</v>
      </c>
      <c r="E160" s="306">
        <f>VLOOKUP(Tabla5121314_341726[[#This Row],[No. Exp]],Tabla6[],5)</f>
        <v>40.103999999999999</v>
      </c>
      <c r="F160" s="306">
        <f>ROUND(Tabla5121314_341726[[#This Row],[Horas trabajadas]]*Tabla5121314_341726[[#This Row],[Tarifas x Horas]],0)</f>
        <v>7700</v>
      </c>
      <c r="G160" s="306"/>
      <c r="H160" s="306">
        <f>Tabla5121314_341726[[#This Row],[A Cobrar]]+Tabla5121314_341726[[#This Row],[Bonif]]</f>
        <v>7700</v>
      </c>
      <c r="I160" s="394"/>
      <c r="J160" s="395">
        <v>12.26</v>
      </c>
      <c r="K160" s="310">
        <f>4020.1</f>
        <v>4020.1</v>
      </c>
      <c r="L160" s="306">
        <f>Tabla5121314_341726[[#This Row],[Sal. Dev]]-Tabla5121314_341726[[#This Row],[Ausencias]]+Tabla5121314_341726[[#This Row],[pago x vacaciones]]</f>
        <v>11720.1</v>
      </c>
      <c r="M160" s="306">
        <f>5%*Tabla5121314_341726[[#This Row],[Salario Neto]]</f>
        <v>586.005</v>
      </c>
      <c r="N160" s="306">
        <f>(9510-3260)*3%</f>
        <v>187.5</v>
      </c>
      <c r="O160" s="306">
        <f>(Tabla5121314_341726[[#This Row],[Salario Neto]]-9510)*5%</f>
        <v>110.50500000000002</v>
      </c>
      <c r="P160" s="311">
        <f>Tabla5121314_341726[[#This Row],[Sal. Dev]]-Tabla5121314_341726[[#This Row],[Ausencias]]+Tabla5121314_341726[[#This Row],[pago x vacaciones]]-Tabla5121314_341726[[#This Row],[importe Seg Social]]-Tabla5121314_341726[[#This Row],[Imp. Sobr. Ing. Per 3% (3260.00-9510.00)]]-Tabla5121314_341726[[#This Row],[Imp. Sobr. Ing. Per 5% (9510.00-15000.00)]]</f>
        <v>10836.090000000002</v>
      </c>
    </row>
    <row r="161" spans="1:16" ht="84.45" customHeight="1">
      <c r="A161" s="292">
        <v>74</v>
      </c>
      <c r="B161" s="293" t="str">
        <f>VLOOKUP(Tabla5121314_341726[[#This Row],[No. Exp]],Tabla6[],2)</f>
        <v>Adriel Agramonte Bernaldes</v>
      </c>
      <c r="C161" s="292" t="str">
        <f>VLOOKUP(Tabla5121314_341726[[#This Row],[No. Exp]],Tabla6[],3)</f>
        <v>84072608329</v>
      </c>
      <c r="D161" s="294">
        <v>192</v>
      </c>
      <c r="E161" s="294">
        <f>VLOOKUP(Tabla5121314_341726[[#This Row],[No. Exp]],Tabla6[],5)</f>
        <v>41.145000000000003</v>
      </c>
      <c r="F161" s="294">
        <f>ROUND(Tabla5121314_341726[[#This Row],[Horas trabajadas]]*Tabla5121314_341726[[#This Row],[Tarifas x Horas]],0)</f>
        <v>7900</v>
      </c>
      <c r="G161" s="294"/>
      <c r="H161" s="294">
        <f>Tabla5121314_341726[[#This Row],[A Cobrar]]+Tabla5121314_341726[[#This Row],[Bonif]]</f>
        <v>7900</v>
      </c>
      <c r="I161" s="295"/>
      <c r="J161" s="296"/>
      <c r="K161" s="299">
        <f>Tabla5121314_341726[[#This Row],[Sal. Dev]]/24*Tabla5121314_341726[[#This Row],[Vacaciones]]</f>
        <v>0</v>
      </c>
      <c r="L161" s="294">
        <f>Tabla5121314_341726[[#This Row],[Sal. Dev]]-Tabla5121314_341726[[#This Row],[Ausencias]]+Tabla5121314_341726[[#This Row],[pago x vacaciones]]</f>
        <v>7900</v>
      </c>
      <c r="M161" s="294">
        <f>5%*Tabla5121314_341726[[#This Row],[Salario Neto]]</f>
        <v>395</v>
      </c>
      <c r="N161" s="294">
        <f t="shared" ref="N161:N172" si="8">(9510-3260)*3%</f>
        <v>187.5</v>
      </c>
      <c r="O161" s="294"/>
      <c r="P161" s="298">
        <f>Tabla5121314_341726[[#This Row],[Sal. Dev]]-Tabla5121314_341726[[#This Row],[Ausencias]]+Tabla5121314_341726[[#This Row],[pago x vacaciones]]-Tabla5121314_341726[[#This Row],[importe Seg Social]]-Tabla5121314_341726[[#This Row],[Imp. Sobr. Ing. Per 3% (3260.00-9510.00)]]</f>
        <v>7317.5</v>
      </c>
    </row>
    <row r="162" spans="1:16" ht="74.599999999999994">
      <c r="A162" s="301">
        <v>75</v>
      </c>
      <c r="B162" s="293" t="str">
        <f>VLOOKUP(Tabla5121314_341726[[#This Row],[No. Exp]],Tabla6[],2)</f>
        <v>Orestes Yamir Domínguez de la Puente</v>
      </c>
      <c r="C162" s="301">
        <f>VLOOKUP(Tabla5121314_341726[[#This Row],[No. Exp]],Tabla6[],3)</f>
        <v>73041735285</v>
      </c>
      <c r="D162" s="294">
        <v>192</v>
      </c>
      <c r="E162" s="294">
        <f>VLOOKUP(Tabla5121314_341726[[#This Row],[No. Exp]],Tabla6[],5)</f>
        <v>41.145000000000003</v>
      </c>
      <c r="F162" s="294">
        <f>ROUND(Tabla5121314_341726[[#This Row],[Horas trabajadas]]*Tabla5121314_341726[[#This Row],[Tarifas x Horas]],0)</f>
        <v>7900</v>
      </c>
      <c r="G162" s="294"/>
      <c r="H162" s="294">
        <f>Tabla5121314_341726[[#This Row],[A Cobrar]]+Tabla5121314_341726[[#This Row],[Bonif]]</f>
        <v>7900</v>
      </c>
      <c r="I162" s="302"/>
      <c r="J162" s="296"/>
      <c r="K162" s="297">
        <f>Tabla5121314_341726[[#This Row],[Sal. Dev]]/24*Tabla5121314_341726[[#This Row],[Vacaciones]]</f>
        <v>0</v>
      </c>
      <c r="L162" s="294">
        <f>Tabla5121314_341726[[#This Row],[Sal. Dev]]-Tabla5121314_341726[[#This Row],[Ausencias]]+Tabla5121314_341726[[#This Row],[pago x vacaciones]]</f>
        <v>7900</v>
      </c>
      <c r="M162" s="294">
        <f>5%*Tabla5121314_341726[[#This Row],[Salario Neto]]</f>
        <v>395</v>
      </c>
      <c r="N162" s="294">
        <f t="shared" si="8"/>
        <v>187.5</v>
      </c>
      <c r="O162" s="294"/>
      <c r="P162" s="298">
        <f>Tabla5121314_341726[[#This Row],[Sal. Dev]]-Tabla5121314_341726[[#This Row],[Ausencias]]+Tabla5121314_341726[[#This Row],[pago x vacaciones]]-Tabla5121314_341726[[#This Row],[importe Seg Social]]-Tabla5121314_341726[[#This Row],[Imp. Sobr. Ing. Per 3% (3260.00-9510.00)]]</f>
        <v>7317.5</v>
      </c>
    </row>
    <row r="163" spans="1:16" ht="64.75" customHeight="1">
      <c r="A163" s="301">
        <v>78</v>
      </c>
      <c r="B163" s="293" t="str">
        <f>VLOOKUP(Tabla5121314_341726[[#This Row],[No. Exp]],Tabla6[],2)</f>
        <v>Ernesto Roque Portal</v>
      </c>
      <c r="C163" s="301">
        <f>VLOOKUP(Tabla5121314_341726[[#This Row],[No. Exp]],Tabla6[],3)</f>
        <v>89021020183</v>
      </c>
      <c r="D163" s="294">
        <v>192</v>
      </c>
      <c r="E163" s="294">
        <f>VLOOKUP(Tabla5121314_341726[[#This Row],[No. Exp]],Tabla6[],5)</f>
        <v>41.145000000000003</v>
      </c>
      <c r="F163" s="294">
        <f>ROUND(Tabla5121314_341726[[#This Row],[Horas trabajadas]]*Tabla5121314_341726[[#This Row],[Tarifas x Horas]],0)</f>
        <v>7900</v>
      </c>
      <c r="G163" s="294"/>
      <c r="H163" s="294">
        <f>Tabla5121314_341726[[#This Row],[A Cobrar]]+Tabla5121314_341726[[#This Row],[Bonif]]</f>
        <v>7900</v>
      </c>
      <c r="I163" s="297"/>
      <c r="J163" s="296"/>
      <c r="K163" s="297">
        <f>Tabla5121314_341726[[#This Row],[Sal. Dev]]/24*Tabla5121314_341726[[#This Row],[Vacaciones]]</f>
        <v>0</v>
      </c>
      <c r="L163" s="294">
        <f>Tabla5121314_341726[[#This Row],[Sal. Dev]]-Tabla5121314_341726[[#This Row],[Ausencias]]+Tabla5121314_341726[[#This Row],[pago x vacaciones]]</f>
        <v>7900</v>
      </c>
      <c r="M163" s="294">
        <f>5%*Tabla5121314_341726[[#This Row],[Salario Neto]]</f>
        <v>395</v>
      </c>
      <c r="N163" s="294">
        <f t="shared" si="8"/>
        <v>187.5</v>
      </c>
      <c r="O163" s="294"/>
      <c r="P163" s="298">
        <f>Tabla5121314_341726[[#This Row],[Sal. Dev]]-Tabla5121314_341726[[#This Row],[Ausencias]]+Tabla5121314_341726[[#This Row],[pago x vacaciones]]-Tabla5121314_341726[[#This Row],[importe Seg Social]]-Tabla5121314_341726[[#This Row],[Imp. Sobr. Ing. Per 3% (3260.00-9510.00)]]</f>
        <v>7317.5</v>
      </c>
    </row>
    <row r="164" spans="1:16" ht="67.3" customHeight="1">
      <c r="A164" s="301">
        <v>79</v>
      </c>
      <c r="B164" s="318" t="str">
        <f>VLOOKUP(Tabla5121314_341726[[#This Row],[No. Exp]],Tabla6[],2)</f>
        <v>Rogelio Catá Limonta</v>
      </c>
      <c r="C164" s="301">
        <f>VLOOKUP(Tabla5121314_341726[[#This Row],[No. Exp]],Tabla6[],3)</f>
        <v>59021430287</v>
      </c>
      <c r="D164" s="294">
        <v>192</v>
      </c>
      <c r="E164" s="299">
        <f>VLOOKUP(Tabla5121314_341726[[#This Row],[No. Exp]],Tabla6[],5)</f>
        <v>41.145000000000003</v>
      </c>
      <c r="F164" s="312">
        <f>ROUND(Tabla5121314_341726[[#This Row],[Horas trabajadas]]*Tabla5121314_341726[[#This Row],[Tarifas x Horas]],0)</f>
        <v>7900</v>
      </c>
      <c r="G164" s="299"/>
      <c r="H164" s="312">
        <f>Tabla5121314_341726[[#This Row],[A Cobrar]]+Tabla5121314_341726[[#This Row],[Bonif]]</f>
        <v>7900</v>
      </c>
      <c r="I164" s="297"/>
      <c r="J164" s="296"/>
      <c r="K164" s="297">
        <f>Tabla5121314_341726[[#This Row],[Sal. Dev]]/24*Tabla5121314_341726[[#This Row],[Vacaciones]]</f>
        <v>0</v>
      </c>
      <c r="L164" s="294">
        <f>Tabla5121314_341726[[#This Row],[Sal. Dev]]-Tabla5121314_341726[[#This Row],[Ausencias]]+Tabla5121314_341726[[#This Row],[pago x vacaciones]]</f>
        <v>7900</v>
      </c>
      <c r="M164" s="294">
        <f>5%*Tabla5121314_341726[[#This Row],[Salario Neto]]</f>
        <v>395</v>
      </c>
      <c r="N164" s="294">
        <f t="shared" si="8"/>
        <v>187.5</v>
      </c>
      <c r="O164" s="294"/>
      <c r="P164" s="298">
        <f>Tabla5121314_341726[[#This Row],[Sal. Dev]]-Tabla5121314_341726[[#This Row],[Ausencias]]+Tabla5121314_341726[[#This Row],[pago x vacaciones]]-Tabla5121314_341726[[#This Row],[importe Seg Social]]-Tabla5121314_341726[[#This Row],[Imp. Sobr. Ing. Per 3% (3260.00-9510.00)]]</f>
        <v>7317.5</v>
      </c>
    </row>
    <row r="165" spans="1:16" ht="70.3" customHeight="1">
      <c r="A165" s="301">
        <v>80</v>
      </c>
      <c r="B165" s="318" t="str">
        <f>VLOOKUP(Tabla5121314_341726[[#This Row],[No. Exp]],Tabla6[],2)</f>
        <v xml:space="preserve">Datney Moreno Romero </v>
      </c>
      <c r="C165" s="301" t="str">
        <f>VLOOKUP(Tabla5121314_341726[[#This Row],[No. Exp]],Tabla6[],3)</f>
        <v>771117066071</v>
      </c>
      <c r="D165" s="294">
        <v>192</v>
      </c>
      <c r="E165" s="299">
        <f>VLOOKUP(Tabla5121314_341726[[#This Row],[No. Exp]],Tabla6[],5)</f>
        <v>41.145000000000003</v>
      </c>
      <c r="F165" s="312">
        <f>ROUND(Tabla5121314_341726[[#This Row],[Horas trabajadas]]*Tabla5121314_341726[[#This Row],[Tarifas x Horas]],0)</f>
        <v>7900</v>
      </c>
      <c r="G165" s="299"/>
      <c r="H165" s="312">
        <f>Tabla5121314_341726[[#This Row],[A Cobrar]]+Tabla5121314_341726[[#This Row],[Bonif]]</f>
        <v>7900</v>
      </c>
      <c r="I165" s="297"/>
      <c r="J165" s="296"/>
      <c r="K165" s="297">
        <f>Tabla5121314_341726[[#This Row],[Sal. Dev]]/24*Tabla5121314_341726[[#This Row],[Vacaciones]]</f>
        <v>0</v>
      </c>
      <c r="L165" s="294">
        <f>Tabla5121314_341726[[#This Row],[Sal. Dev]]-Tabla5121314_341726[[#This Row],[Ausencias]]+Tabla5121314_341726[[#This Row],[pago x vacaciones]]</f>
        <v>7900</v>
      </c>
      <c r="M165" s="294">
        <f>5%*Tabla5121314_341726[[#This Row],[Salario Neto]]</f>
        <v>395</v>
      </c>
      <c r="N165" s="294">
        <f t="shared" si="8"/>
        <v>187.5</v>
      </c>
      <c r="O165" s="294"/>
      <c r="P165" s="298">
        <f>Tabla5121314_341726[[#This Row],[Sal. Dev]]-Tabla5121314_341726[[#This Row],[Ausencias]]+Tabla5121314_341726[[#This Row],[pago x vacaciones]]-Tabla5121314_341726[[#This Row],[importe Seg Social]]-Tabla5121314_341726[[#This Row],[Imp. Sobr. Ing. Per 3% (3260.00-9510.00)]]</f>
        <v>7317.5</v>
      </c>
    </row>
    <row r="166" spans="1:16" ht="63.45" customHeight="1">
      <c r="A166" s="301">
        <v>81</v>
      </c>
      <c r="B166" s="318" t="str">
        <f>VLOOKUP(Tabla5121314_341726[[#This Row],[No. Exp]],Tabla6[],2)</f>
        <v>Enrique Roque Barreras</v>
      </c>
      <c r="C166" s="301">
        <f>VLOOKUP(Tabla5121314_341726[[#This Row],[No. Exp]],Tabla6[],3)</f>
        <v>62071512741</v>
      </c>
      <c r="D166" s="294">
        <v>192</v>
      </c>
      <c r="E166" s="299">
        <f>VLOOKUP(Tabla5121314_341726[[#This Row],[No. Exp]],Tabla6[],5)</f>
        <v>41.145000000000003</v>
      </c>
      <c r="F166" s="312">
        <f>ROUND(Tabla5121314_341726[[#This Row],[Horas trabajadas]]*Tabla5121314_341726[[#This Row],[Tarifas x Horas]],0)</f>
        <v>7900</v>
      </c>
      <c r="G166" s="299"/>
      <c r="H166" s="312">
        <f>Tabla5121314_341726[[#This Row],[A Cobrar]]+Tabla5121314_341726[[#This Row],[Bonif]]</f>
        <v>7900</v>
      </c>
      <c r="I166" s="297"/>
      <c r="J166" s="296"/>
      <c r="K166" s="299">
        <f>Tabla5121314_341726[[#This Row],[Sal. Dev]]/24*Tabla5121314_341726[[#This Row],[Vacaciones]]</f>
        <v>0</v>
      </c>
      <c r="L166" s="294">
        <f>Tabla5121314_341726[[#This Row],[Sal. Dev]]-Tabla5121314_341726[[#This Row],[Ausencias]]+Tabla5121314_341726[[#This Row],[pago x vacaciones]]</f>
        <v>7900</v>
      </c>
      <c r="M166" s="294">
        <f>5%*Tabla5121314_341726[[#This Row],[Salario Neto]]</f>
        <v>395</v>
      </c>
      <c r="N166" s="294">
        <f t="shared" si="8"/>
        <v>187.5</v>
      </c>
      <c r="O166" s="294"/>
      <c r="P166" s="298">
        <f>Tabla5121314_341726[[#This Row],[Sal. Dev]]-Tabla5121314_341726[[#This Row],[Ausencias]]+Tabla5121314_341726[[#This Row],[pago x vacaciones]]-Tabla5121314_341726[[#This Row],[importe Seg Social]]-Tabla5121314_341726[[#This Row],[Imp. Sobr. Ing. Per 3% (3260.00-9510.00)]]</f>
        <v>7317.5</v>
      </c>
    </row>
    <row r="167" spans="1:16" ht="62.15" customHeight="1">
      <c r="A167" s="301">
        <v>83</v>
      </c>
      <c r="B167" s="318" t="str">
        <f>VLOOKUP(Tabla5121314_341726[[#This Row],[No. Exp]],Tabla6[],2)</f>
        <v>José Manuel Azahares Tejeda</v>
      </c>
      <c r="C167" s="301" t="str">
        <f>VLOOKUP(Tabla5121314_341726[[#This Row],[No. Exp]],Tabla6[],3)</f>
        <v>86090125783</v>
      </c>
      <c r="D167" s="294">
        <v>192</v>
      </c>
      <c r="E167" s="299">
        <f>VLOOKUP(Tabla5121314_341726[[#This Row],[No. Exp]],Tabla6[],5)</f>
        <v>41.145000000000003</v>
      </c>
      <c r="F167" s="312">
        <f>ROUND(Tabla5121314_341726[[#This Row],[Horas trabajadas]]*Tabla5121314_341726[[#This Row],[Tarifas x Horas]],0)</f>
        <v>7900</v>
      </c>
      <c r="G167" s="299"/>
      <c r="H167" s="312">
        <f>Tabla5121314_341726[[#This Row],[A Cobrar]]+Tabla5121314_341726[[#This Row],[Bonif]]</f>
        <v>7900</v>
      </c>
      <c r="I167" s="297"/>
      <c r="J167" s="296"/>
      <c r="K167" s="312">
        <f>Tabla5121314_341726[[#This Row],[Sal. Dev]]/24*Tabla5121314_341726[[#This Row],[Vacaciones]]</f>
        <v>0</v>
      </c>
      <c r="L167" s="294">
        <f>Tabla5121314_341726[[#This Row],[Sal. Dev]]-Tabla5121314_341726[[#This Row],[Ausencias]]+Tabla5121314_341726[[#This Row],[pago x vacaciones]]</f>
        <v>7900</v>
      </c>
      <c r="M167" s="294">
        <f>5%*Tabla5121314_341726[[#This Row],[Salario Neto]]</f>
        <v>395</v>
      </c>
      <c r="N167" s="294">
        <f t="shared" si="8"/>
        <v>187.5</v>
      </c>
      <c r="O167" s="294"/>
      <c r="P167" s="298">
        <f>Tabla5121314_341726[[#This Row],[Sal. Dev]]-Tabla5121314_341726[[#This Row],[Ausencias]]+Tabla5121314_341726[[#This Row],[pago x vacaciones]]-Tabla5121314_341726[[#This Row],[importe Seg Social]]-Tabla5121314_341726[[#This Row],[Imp. Sobr. Ing. Per 3% (3260.00-9510.00)]]</f>
        <v>7317.5</v>
      </c>
    </row>
    <row r="168" spans="1:16" ht="66" customHeight="1">
      <c r="A168" s="301">
        <v>84</v>
      </c>
      <c r="B168" s="318" t="str">
        <f>VLOOKUP(Tabla5121314_341726[[#This Row],[No. Exp]],Tabla6[],2)</f>
        <v xml:space="preserve"> Yensy Del Moral Domínguez</v>
      </c>
      <c r="C168" s="301" t="str">
        <f>VLOOKUP(Tabla5121314_341726[[#This Row],[No. Exp]],Tabla6[],3)</f>
        <v>82080307769</v>
      </c>
      <c r="D168" s="294">
        <v>192</v>
      </c>
      <c r="E168" s="299">
        <f>VLOOKUP(Tabla5121314_341726[[#This Row],[No. Exp]],Tabla6[],5)</f>
        <v>41.145000000000003</v>
      </c>
      <c r="F168" s="312">
        <f>ROUND(Tabla5121314_341726[[#This Row],[Horas trabajadas]]*Tabla5121314_341726[[#This Row],[Tarifas x Horas]],0)</f>
        <v>7900</v>
      </c>
      <c r="G168" s="299"/>
      <c r="H168" s="312">
        <f>Tabla5121314_341726[[#This Row],[A Cobrar]]+Tabla5121314_341726[[#This Row],[Bonif]]</f>
        <v>7900</v>
      </c>
      <c r="I168" s="297"/>
      <c r="J168" s="296"/>
      <c r="K168" s="312">
        <f>Tabla5121314_341726[[#This Row],[Sal. Dev]]/24*Tabla5121314_341726[[#This Row],[Vacaciones]]</f>
        <v>0</v>
      </c>
      <c r="L168" s="294">
        <f>Tabla5121314_341726[[#This Row],[Sal. Dev]]-Tabla5121314_341726[[#This Row],[Ausencias]]+Tabla5121314_341726[[#This Row],[pago x vacaciones]]</f>
        <v>7900</v>
      </c>
      <c r="M168" s="294">
        <f>5%*Tabla5121314_341726[[#This Row],[Salario Neto]]</f>
        <v>395</v>
      </c>
      <c r="N168" s="294">
        <f t="shared" si="8"/>
        <v>187.5</v>
      </c>
      <c r="O168" s="294"/>
      <c r="P168" s="298">
        <f>Tabla5121314_341726[[#This Row],[Sal. Dev]]-Tabla5121314_341726[[#This Row],[Ausencias]]+Tabla5121314_341726[[#This Row],[pago x vacaciones]]-Tabla5121314_341726[[#This Row],[importe Seg Social]]-Tabla5121314_341726[[#This Row],[Imp. Sobr. Ing. Per 3% (3260.00-9510.00)]]</f>
        <v>7317.5</v>
      </c>
    </row>
    <row r="169" spans="1:16" ht="59.15" customHeight="1">
      <c r="A169" s="301">
        <v>87</v>
      </c>
      <c r="B169" s="318" t="str">
        <f>VLOOKUP(Tabla5121314_341726[[#This Row],[No. Exp]],Tabla6[],2)</f>
        <v>Osvaldo Yasmany Oro Santiesteban</v>
      </c>
      <c r="C169" s="301" t="str">
        <f>VLOOKUP(Tabla5121314_341726[[#This Row],[No. Exp]],Tabla6[],3)</f>
        <v>90112141409</v>
      </c>
      <c r="D169" s="294">
        <v>192</v>
      </c>
      <c r="E169" s="299">
        <f>VLOOKUP(Tabla5121314_341726[[#This Row],[No. Exp]],Tabla6[],5)</f>
        <v>41.145000000000003</v>
      </c>
      <c r="F169" s="312">
        <f>ROUND(Tabla5121314_341726[[#This Row],[Horas trabajadas]]*Tabla5121314_341726[[#This Row],[Tarifas x Horas]],0)</f>
        <v>7900</v>
      </c>
      <c r="G169" s="299"/>
      <c r="H169" s="312">
        <f>Tabla5121314_341726[[#This Row],[A Cobrar]]+Tabla5121314_341726[[#This Row],[Bonif]]</f>
        <v>7900</v>
      </c>
      <c r="I169" s="297"/>
      <c r="J169" s="296"/>
      <c r="K169" s="312">
        <f>Tabla5121314_341726[[#This Row],[Sal. Dev]]/24*Tabla5121314_341726[[#This Row],[Vacaciones]]</f>
        <v>0</v>
      </c>
      <c r="L169" s="294">
        <f>Tabla5121314_341726[[#This Row],[Sal. Dev]]-Tabla5121314_341726[[#This Row],[Ausencias]]+Tabla5121314_341726[[#This Row],[pago x vacaciones]]</f>
        <v>7900</v>
      </c>
      <c r="M169" s="294">
        <f>5%*Tabla5121314_341726[[#This Row],[Salario Neto]]</f>
        <v>395</v>
      </c>
      <c r="N169" s="294">
        <f t="shared" si="8"/>
        <v>187.5</v>
      </c>
      <c r="O169" s="294"/>
      <c r="P169" s="298">
        <f>Tabla5121314_341726[[#This Row],[Sal. Dev]]-Tabla5121314_341726[[#This Row],[Ausencias]]+Tabla5121314_341726[[#This Row],[pago x vacaciones]]-Tabla5121314_341726[[#This Row],[importe Seg Social]]-Tabla5121314_341726[[#This Row],[Imp. Sobr. Ing. Per 3% (3260.00-9510.00)]]</f>
        <v>7317.5</v>
      </c>
    </row>
    <row r="170" spans="1:16" ht="62.15" customHeight="1">
      <c r="A170" s="301">
        <v>88</v>
      </c>
      <c r="B170" s="318" t="str">
        <f>VLOOKUP(Tabla5121314_341726[[#This Row],[No. Exp]],Tabla6[],2)</f>
        <v>Felix David Del Monte Balbuena</v>
      </c>
      <c r="C170" s="301" t="str">
        <f>VLOOKUP(Tabla5121314_341726[[#This Row],[No. Exp]],Tabla6[],3)</f>
        <v>96071809627</v>
      </c>
      <c r="D170" s="294">
        <v>192</v>
      </c>
      <c r="E170" s="299">
        <f>VLOOKUP(Tabla5121314_341726[[#This Row],[No. Exp]],Tabla6[],5)</f>
        <v>41.145000000000003</v>
      </c>
      <c r="F170" s="312">
        <f>ROUND(Tabla5121314_341726[[#This Row],[Horas trabajadas]]*Tabla5121314_341726[[#This Row],[Tarifas x Horas]],0)</f>
        <v>7900</v>
      </c>
      <c r="G170" s="299"/>
      <c r="H170" s="312">
        <f>Tabla5121314_341726[[#This Row],[A Cobrar]]+Tabla5121314_341726[[#This Row],[Bonif]]</f>
        <v>7900</v>
      </c>
      <c r="I170" s="297"/>
      <c r="J170" s="296"/>
      <c r="K170" s="312">
        <f>Tabla5121314_341726[[#This Row],[Sal. Dev]]/24*Tabla5121314_341726[[#This Row],[Vacaciones]]</f>
        <v>0</v>
      </c>
      <c r="L170" s="294">
        <f>Tabla5121314_341726[[#This Row],[Sal. Dev]]-Tabla5121314_341726[[#This Row],[Ausencias]]+Tabla5121314_341726[[#This Row],[pago x vacaciones]]</f>
        <v>7900</v>
      </c>
      <c r="M170" s="294">
        <f>5%*Tabla5121314_341726[[#This Row],[Salario Neto]]</f>
        <v>395</v>
      </c>
      <c r="N170" s="294">
        <f t="shared" si="8"/>
        <v>187.5</v>
      </c>
      <c r="O170" s="294"/>
      <c r="P170" s="298">
        <f>Tabla5121314_341726[[#This Row],[Sal. Dev]]-Tabla5121314_341726[[#This Row],[Ausencias]]+Tabla5121314_341726[[#This Row],[pago x vacaciones]]-Tabla5121314_341726[[#This Row],[importe Seg Social]]-Tabla5121314_341726[[#This Row],[Imp. Sobr. Ing. Per 3% (3260.00-9510.00)]]</f>
        <v>7317.5</v>
      </c>
    </row>
    <row r="171" spans="1:16" s="158" customFormat="1" ht="79.3" customHeight="1">
      <c r="A171" s="414">
        <v>107</v>
      </c>
      <c r="B171" s="415" t="str">
        <f>VLOOKUP(Tabla5121314_341726[[#This Row],[No. Exp]],Tabla6[],2)</f>
        <v>Lester Francisco Armas Dieguez</v>
      </c>
      <c r="C171" s="414" t="str">
        <f>VLOOKUP(Tabla5121314_341726[[#This Row],[No. Exp]],Tabla6[],3)</f>
        <v>00120667441</v>
      </c>
      <c r="D171" s="310">
        <v>192</v>
      </c>
      <c r="E171" s="306">
        <f>VLOOKUP(Tabla5121314_341726[[#This Row],[No. Exp]],Tabla6[],5)</f>
        <v>41.145000000000003</v>
      </c>
      <c r="F171" s="310">
        <f>ROUND(Tabla5121314_341726[[#This Row],[Horas trabajadas]]*Tabla5121314_341726[[#This Row],[Tarifas x Horas]],0)</f>
        <v>7900</v>
      </c>
      <c r="G171" s="307"/>
      <c r="H171" s="310">
        <f>Tabla5121314_341726[[#This Row],[A Cobrar]]+Tabla5121314_341726[[#This Row],[Bonif]]</f>
        <v>7900</v>
      </c>
      <c r="I171" s="389"/>
      <c r="J171" s="395">
        <v>5</v>
      </c>
      <c r="K171" s="310">
        <f>1645.76</f>
        <v>1645.76</v>
      </c>
      <c r="L171" s="306">
        <f>Tabla5121314_341726[[#This Row],[Sal. Dev]]-Tabla5121314_341726[[#This Row],[Ausencias]]+Tabla5121314_341726[[#This Row],[pago x vacaciones]]</f>
        <v>9545.76</v>
      </c>
      <c r="M171" s="310">
        <f>5%*Tabla5121314_341726[[#This Row],[Salario Neto]]</f>
        <v>477.28800000000001</v>
      </c>
      <c r="N171" s="306">
        <f t="shared" si="8"/>
        <v>187.5</v>
      </c>
      <c r="O171" s="306">
        <f>(Tabla5121314_341726[[#This Row],[Salario Neto]]-9510)*5%</f>
        <v>1.7880000000000109</v>
      </c>
      <c r="P171" s="311">
        <f>Tabla5121314_341726[[#This Row],[Sal. Dev]]-Tabla5121314_341726[[#This Row],[Ausencias]]+Tabla5121314_341726[[#This Row],[pago x vacaciones]]-Tabla5121314_341726[[#This Row],[importe Seg Social]]-Tabla5121314_341726[[#This Row],[Imp. Sobr. Ing. Per 3% (3260.00-9510.00)]]-Tabla5121314_341726[[#This Row],[Imp. Sobr. Ing. Per 5% (9510.00-15000.00)]]</f>
        <v>8879.1839999999993</v>
      </c>
    </row>
    <row r="172" spans="1:16" ht="57.9" customHeight="1">
      <c r="A172" s="301">
        <v>96</v>
      </c>
      <c r="B172" s="318" t="str">
        <f>VLOOKUP(Tabla5121314_341726[[#This Row],[No. Exp]],Tabla6[],2)</f>
        <v xml:space="preserve">Eriel Martínez Durán </v>
      </c>
      <c r="C172" s="301">
        <f>VLOOKUP(Tabla5121314_341726[[#This Row],[No. Exp]],Tabla6[],3)</f>
        <v>98022608200</v>
      </c>
      <c r="D172" s="312">
        <v>192</v>
      </c>
      <c r="E172" s="294">
        <f>VLOOKUP(Tabla5121314_341726[[#This Row],[No. Exp]],Tabla6[],5)</f>
        <v>41.145000000000003</v>
      </c>
      <c r="F172" s="312">
        <f>ROUND(Tabla5121314_341726[[#This Row],[Horas trabajadas]]*Tabla5121314_341726[[#This Row],[Tarifas x Horas]],0)</f>
        <v>7900</v>
      </c>
      <c r="G172" s="297"/>
      <c r="H172" s="312">
        <f>Tabla5121314_341726[[#This Row],[A Cobrar]]+Tabla5121314_341726[[#This Row],[Bonif]]</f>
        <v>7900</v>
      </c>
      <c r="I172" s="313"/>
      <c r="J172" s="297"/>
      <c r="K172" s="315">
        <f>Tabla5121314_341726[[#This Row],[Sal. Dev]]/24*Tabla5121314_341726[[#This Row],[Vacaciones]]</f>
        <v>0</v>
      </c>
      <c r="L172" s="312">
        <f>Tabla5121314_341726[[#This Row],[Sal. Dev]]-Tabla5121314_341726[[#This Row],[Ausencias]]</f>
        <v>7900</v>
      </c>
      <c r="M172" s="312">
        <f>5%*Tabla5121314_341726[[#This Row],[Salario Neto]]</f>
        <v>395</v>
      </c>
      <c r="N172" s="294">
        <f t="shared" si="8"/>
        <v>187.5</v>
      </c>
      <c r="O172" s="294"/>
      <c r="P172" s="412">
        <f>Tabla5121314_341726[[#This Row],[Sal. Dev]]-Tabla5121314_341726[[#This Row],[Ausencias]]+Tabla5121314_341726[[#This Row],[pago x vacaciones]]-Tabla5121314_341726[[#This Row],[importe Seg Social]]-Tabla5121314_341726[[#This Row],[Imp. Sobr. Ing. Per 3% (3260.00-9510.00)]]</f>
        <v>7317.5</v>
      </c>
    </row>
    <row r="173" spans="1:16" s="154" customFormat="1" ht="79.3" customHeight="1">
      <c r="A173" s="336">
        <v>126</v>
      </c>
      <c r="B173" s="416" t="str">
        <f>VLOOKUP(Tabla5121314_341726[[#This Row],[No. Exp]],Tabla6[],2)</f>
        <v>Alexey Olivera Gómez</v>
      </c>
      <c r="C173" s="336">
        <f>VLOOKUP(Tabla5121314_341726[[#This Row],[No. Exp]],Tabla6[],3)</f>
        <v>99102702369</v>
      </c>
      <c r="D173" s="321">
        <v>96</v>
      </c>
      <c r="E173" s="322">
        <f>VLOOKUP(Tabla5121314_341726[[#This Row],[No. Exp]],Tabla6[],5)</f>
        <v>41.145000000000003</v>
      </c>
      <c r="F173" s="321">
        <f>ROUND(Tabla5121314_341726[[#This Row],[Horas trabajadas]]*Tabla5121314_341726[[#This Row],[Tarifas x Horas]],0)</f>
        <v>3950</v>
      </c>
      <c r="G173" s="323"/>
      <c r="H173" s="321">
        <f>Tabla5121314_341726[[#This Row],[A Cobrar]]+Tabla5121314_341726[[#This Row],[Bonif]]</f>
        <v>3950</v>
      </c>
      <c r="I173" s="324"/>
      <c r="J173" s="323"/>
      <c r="K173" s="411">
        <f>Tabla5121314_341726[[#This Row],[Sal. Dev]]/24*Tabla5121314_341726[[#This Row],[Vacaciones]]</f>
        <v>0</v>
      </c>
      <c r="L173" s="321">
        <f>Tabla5121314_341726[[#This Row],[Sal. Dev]]-Tabla5121314_341726[[#This Row],[Ausencias]]</f>
        <v>3950</v>
      </c>
      <c r="M173" s="321">
        <f>5%*Tabla5121314_341726[[#This Row],[Salario Neto]]</f>
        <v>197.5</v>
      </c>
      <c r="N173" s="321">
        <f>(9510-3260)*3%</f>
        <v>187.5</v>
      </c>
      <c r="O173" s="322"/>
      <c r="P173" s="413">
        <f>Tabla5121314_341726[[#This Row],[Sal. Dev]]-Tabla5121314_341726[[#This Row],[Ausencias]]+Tabla5121314_341726[[#This Row],[pago x vacaciones]]-Tabla5121314_341726[[#This Row],[importe Seg Social]]-Tabla5121314_341726[[#This Row],[Imp. Sobr. Ing. Per 3% (3260.00-9510.00)]]</f>
        <v>3565</v>
      </c>
    </row>
    <row r="174" spans="1:16" s="154" customFormat="1" ht="57.9" customHeight="1">
      <c r="A174" s="336">
        <v>128</v>
      </c>
      <c r="B174" s="416" t="str">
        <f>VLOOKUP(Tabla5121314_341726[[#This Row],[No. Exp]],Tabla6[],2)</f>
        <v xml:space="preserve">Walfrido Calvo Alonso </v>
      </c>
      <c r="C174" s="336">
        <f>VLOOKUP(Tabla5121314_341726[[#This Row],[No. Exp]],Tabla6[],3)</f>
        <v>58101202006</v>
      </c>
      <c r="D174" s="321">
        <v>272</v>
      </c>
      <c r="E174" s="322">
        <f>VLOOKUP(Tabla5121314_341726[[#This Row],[No. Exp]],Tabla6[],5)</f>
        <v>41.145000000000003</v>
      </c>
      <c r="F174" s="321">
        <f>ROUND(Tabla5121314_341726[[#This Row],[Horas trabajadas]]*Tabla5121314_341726[[#This Row],[Tarifas x Horas]],0)</f>
        <v>11191</v>
      </c>
      <c r="G174" s="323"/>
      <c r="H174" s="321">
        <f>Tabla5121314_341726[[#This Row],[A Cobrar]]+Tabla5121314_341726[[#This Row],[Bonif]]</f>
        <v>11191</v>
      </c>
      <c r="I174" s="325"/>
      <c r="J174" s="411"/>
      <c r="K174" s="411">
        <f>Tabla5121314_341726[[#This Row],[Sal. Dev]]/24*Tabla5121314_341726[[#This Row],[Vacaciones]]</f>
        <v>0</v>
      </c>
      <c r="L174" s="321">
        <f>Tabla5121314_341726[[#This Row],[Sal. Dev]]-Tabla5121314_341726[[#This Row],[Ausencias]]</f>
        <v>11191</v>
      </c>
      <c r="M174" s="321">
        <f>5%*Tabla5121314_341726[[#This Row],[Salario Neto]]</f>
        <v>559.55000000000007</v>
      </c>
      <c r="N174" s="321">
        <f>(9510-3260)*3%</f>
        <v>187.5</v>
      </c>
      <c r="O174" s="322">
        <f>(Tabla5121314_341726[[#This Row],[Salario Neto]]-9510)*5%</f>
        <v>84.050000000000011</v>
      </c>
      <c r="P174" s="413">
        <f>Tabla5121314_341726[[#This Row],[Sal. Dev]]-Tabla5121314_341726[[#This Row],[Ausencias]]+Tabla5121314_341726[[#This Row],[pago x vacaciones]]-Tabla5121314_341726[[#This Row],[importe Seg Social]]-Tabla5121314_341726[[#This Row],[Imp. Sobr. Ing. Per 3% (3260.00-9510.00)]]-Tabla5121314_341726[[#This Row],[Imp. Sobr. Ing. Per 5% (9510.00-15000.00)]]</f>
        <v>10359.900000000001</v>
      </c>
    </row>
    <row r="175" spans="1:16" ht="57.9" customHeight="1">
      <c r="A175" s="211"/>
      <c r="B175" s="280"/>
      <c r="C175" s="211"/>
      <c r="D175" s="281"/>
      <c r="E175" s="206"/>
      <c r="F175" s="213"/>
      <c r="G175" s="213"/>
      <c r="H175" s="213"/>
      <c r="I175" s="289"/>
      <c r="J175" s="213"/>
      <c r="K175" s="290"/>
      <c r="L175" s="213"/>
      <c r="M175" s="213"/>
      <c r="N175" s="206"/>
      <c r="O175" s="206"/>
      <c r="P175" s="289"/>
    </row>
    <row r="176" spans="1:16" ht="57.9" customHeight="1">
      <c r="A176" s="211"/>
      <c r="B176" s="280"/>
      <c r="C176" s="211"/>
      <c r="D176" s="281"/>
      <c r="E176" s="206"/>
      <c r="F176" s="213"/>
      <c r="G176" s="213"/>
      <c r="H176" s="213"/>
      <c r="I176" s="289"/>
      <c r="J176" s="213"/>
      <c r="K176" s="290"/>
      <c r="L176" s="213"/>
      <c r="M176" s="213"/>
      <c r="N176" s="206"/>
      <c r="O176" s="206"/>
      <c r="P176" s="289"/>
    </row>
    <row r="177" spans="1:17" ht="57.9" customHeight="1">
      <c r="A177" s="211"/>
      <c r="B177" s="280"/>
      <c r="C177" s="211"/>
      <c r="D177" s="281"/>
      <c r="E177" s="206"/>
      <c r="F177" s="213"/>
      <c r="G177" s="213"/>
      <c r="H177" s="213"/>
      <c r="I177" s="289"/>
      <c r="J177" s="213"/>
      <c r="K177" s="290"/>
      <c r="L177" s="213"/>
      <c r="M177" s="213"/>
      <c r="N177" s="206"/>
      <c r="O177" s="206"/>
      <c r="P177" s="289"/>
    </row>
    <row r="178" spans="1:17" ht="35.15">
      <c r="A178" s="211"/>
      <c r="B178" s="280"/>
      <c r="C178" s="211"/>
      <c r="D178" s="281"/>
      <c r="E178" s="206"/>
      <c r="F178" s="213"/>
      <c r="G178" s="213"/>
      <c r="H178" s="213"/>
      <c r="I178" s="289"/>
      <c r="J178" s="213"/>
      <c r="K178" s="290"/>
      <c r="L178" s="213"/>
      <c r="M178" s="213"/>
      <c r="N178" s="206"/>
      <c r="O178" s="206"/>
      <c r="P178" s="289"/>
    </row>
    <row r="179" spans="1:17">
      <c r="A179" s="174"/>
      <c r="B179" s="174"/>
      <c r="C179" s="174"/>
      <c r="D179" s="195"/>
      <c r="E179" s="191"/>
      <c r="F179" s="174"/>
      <c r="G179" s="174"/>
      <c r="H179" s="174"/>
      <c r="I179" s="186"/>
      <c r="J179" s="174"/>
      <c r="K179" s="174"/>
      <c r="L179" s="174"/>
      <c r="M179" s="174"/>
      <c r="N179" s="191"/>
      <c r="O179" s="174"/>
      <c r="P179" s="174"/>
    </row>
    <row r="180" spans="1:17" ht="45.45">
      <c r="A180" s="459" t="s">
        <v>0</v>
      </c>
      <c r="B180" s="459"/>
      <c r="C180" s="180"/>
      <c r="D180" s="180"/>
      <c r="E180" s="174"/>
      <c r="F180" s="174"/>
      <c r="G180" s="174"/>
      <c r="H180" s="190"/>
      <c r="I180" s="189" t="s">
        <v>1</v>
      </c>
      <c r="J180" s="189" t="s">
        <v>2</v>
      </c>
      <c r="K180" s="269">
        <f>K154</f>
        <v>45962</v>
      </c>
      <c r="L180" s="270" t="s">
        <v>3</v>
      </c>
      <c r="M180" s="269">
        <f>M154</f>
        <v>45991</v>
      </c>
      <c r="N180" s="181"/>
      <c r="O180" s="174"/>
      <c r="P180" s="174"/>
    </row>
    <row r="181" spans="1:17" ht="27.9">
      <c r="A181" s="469" t="s">
        <v>4</v>
      </c>
      <c r="B181" s="469"/>
      <c r="C181" s="267" t="str">
        <f>C155</f>
        <v>Amanda Marcano Bahler</v>
      </c>
      <c r="D181" s="174"/>
      <c r="E181" s="174"/>
      <c r="F181" s="174"/>
      <c r="G181" s="174"/>
      <c r="H181" s="190"/>
      <c r="I181" s="190"/>
      <c r="J181" s="190"/>
      <c r="K181" s="190"/>
      <c r="L181" s="190"/>
      <c r="M181" s="190"/>
      <c r="N181" s="174"/>
      <c r="O181" s="174"/>
      <c r="P181" s="174"/>
    </row>
    <row r="182" spans="1:17" ht="27.9">
      <c r="A182" s="469" t="s">
        <v>5</v>
      </c>
      <c r="B182" s="469"/>
      <c r="C182" s="268"/>
      <c r="D182" s="174"/>
      <c r="E182" s="174"/>
      <c r="F182" s="174"/>
      <c r="G182" s="174"/>
      <c r="H182" s="190"/>
      <c r="I182" s="190"/>
      <c r="J182" s="190"/>
      <c r="K182" s="190"/>
      <c r="L182" s="190" t="s">
        <v>207</v>
      </c>
      <c r="M182" s="267">
        <v>192</v>
      </c>
      <c r="N182" s="174"/>
      <c r="O182" s="174"/>
      <c r="P182" s="174"/>
    </row>
    <row r="183" spans="1:17" ht="27.9">
      <c r="A183" s="174"/>
      <c r="B183" s="174"/>
      <c r="C183" s="174"/>
      <c r="D183" s="174"/>
      <c r="E183" s="174"/>
      <c r="F183" s="174"/>
      <c r="G183" s="174"/>
      <c r="H183" s="190"/>
      <c r="I183" s="190"/>
      <c r="J183" s="190"/>
      <c r="K183" s="190"/>
      <c r="L183" s="190"/>
      <c r="M183" s="190"/>
      <c r="N183" s="174"/>
      <c r="O183" s="174"/>
      <c r="P183" s="174"/>
    </row>
    <row r="184" spans="1:17" ht="57" customHeight="1">
      <c r="A184" s="464" t="s">
        <v>7</v>
      </c>
      <c r="B184" s="464"/>
      <c r="C184" s="186" t="s">
        <v>224</v>
      </c>
      <c r="D184" s="174"/>
      <c r="E184" s="174"/>
      <c r="F184" s="174"/>
      <c r="G184" s="174"/>
      <c r="H184" s="174"/>
      <c r="I184" s="174"/>
      <c r="J184" s="174"/>
      <c r="K184" s="174"/>
      <c r="L184" s="460" t="s">
        <v>9</v>
      </c>
      <c r="M184" s="460"/>
      <c r="N184" s="174"/>
      <c r="O184" s="174"/>
      <c r="P184" s="174"/>
    </row>
    <row r="185" spans="1:17" ht="62.15" customHeight="1">
      <c r="A185" s="316" t="s">
        <v>10</v>
      </c>
      <c r="B185" s="316" t="s">
        <v>11</v>
      </c>
      <c r="C185" s="316" t="s">
        <v>12</v>
      </c>
      <c r="D185" s="316" t="s">
        <v>201</v>
      </c>
      <c r="E185" s="316" t="s">
        <v>200</v>
      </c>
      <c r="F185" s="316" t="s">
        <v>13</v>
      </c>
      <c r="G185" s="316" t="s">
        <v>14</v>
      </c>
      <c r="H185" s="317" t="s">
        <v>15</v>
      </c>
      <c r="I185" s="316" t="s">
        <v>197</v>
      </c>
      <c r="J185" s="317" t="s">
        <v>9</v>
      </c>
      <c r="K185" s="317" t="s">
        <v>16</v>
      </c>
      <c r="L185" s="316" t="s">
        <v>196</v>
      </c>
      <c r="M185" s="316" t="s">
        <v>194</v>
      </c>
      <c r="N185" s="316" t="s">
        <v>240</v>
      </c>
      <c r="O185" s="316" t="s">
        <v>241</v>
      </c>
      <c r="P185" s="317" t="s">
        <v>191</v>
      </c>
    </row>
    <row r="186" spans="1:17" ht="57.9" customHeight="1">
      <c r="A186" s="300">
        <v>85</v>
      </c>
      <c r="B186" s="318" t="str">
        <f>VLOOKUP(Tabla5121314_34591928[[#This Row],[No. Exp]],Tabla6[],2)</f>
        <v>Alexis Cabrera Menéndez</v>
      </c>
      <c r="C186" s="301">
        <f>VLOOKUP(Tabla5121314_34591928[[#This Row],[No. Exp]],Tabla6[],3)</f>
        <v>74032322600</v>
      </c>
      <c r="D186" s="312">
        <f>M182</f>
        <v>192</v>
      </c>
      <c r="E186" s="312">
        <f>VLOOKUP(Tabla5121314_34591928[[#This Row],[No. Exp]],Tabla6[],5)</f>
        <v>40.103999999999999</v>
      </c>
      <c r="F186" s="294">
        <f>ROUND(Tabla5121314_34591928[[#This Row],[Horas trabajadas]]*Tabla5121314_34591928[[#This Row],[Tarifas x Horas]],0)</f>
        <v>7700</v>
      </c>
      <c r="G186" s="294"/>
      <c r="H186" s="294">
        <f>Tabla5121314_34591928[[#This Row],[A Cobrar]]+Tabla5121314_34591928[[#This Row],[Bonif]]</f>
        <v>7700</v>
      </c>
      <c r="I186" s="302"/>
      <c r="J186" s="296"/>
      <c r="K186" s="294" cm="1">
        <f t="array" ref="K186">MMULT(Tabla5121314_34591928[[#This Row],[Tarifas x Horas]],8)*Tabla5121314_34591928[[#This Row],[Vacaciones]]</f>
        <v>0</v>
      </c>
      <c r="L186" s="294">
        <f>Tabla5121314_34591928[[#This Row],[Sal. Dev]]-Tabla5121314_34591928[[#This Row],[Ausencias]]+Tabla5121314_34591928[[#This Row],[pago x vacaciones]]</f>
        <v>7700</v>
      </c>
      <c r="M186" s="294">
        <f>5%*Tabla5121314_34591928[[#This Row],[Salario Neto]]</f>
        <v>385</v>
      </c>
      <c r="N186" s="294">
        <v>187.5</v>
      </c>
      <c r="O186" s="294"/>
      <c r="P186" s="298">
        <f>Tabla5121314_34591928[[#This Row],[Sal. Dev]]-Tabla5121314_34591928[[#This Row],[Ausencias]]+Tabla5121314_34591928[[#This Row],[pago x vacaciones]]-Tabla5121314_34591928[[#This Row],[importe Seg Social]]-Tabla5121314_34591928[[#This Row],[Imp. Sobr. Ing. Per 3% (3260.00-9510.00)]]</f>
        <v>7127.5</v>
      </c>
    </row>
    <row r="187" spans="1:17" ht="55.3" customHeight="1">
      <c r="A187" s="300">
        <v>86</v>
      </c>
      <c r="B187" s="293" t="str">
        <f>VLOOKUP(Tabla5121314_34591928[[#This Row],[No. Exp]],Tabla6[],2)</f>
        <v>Ariel Cabrera Menéndez</v>
      </c>
      <c r="C187" s="301">
        <f>VLOOKUP(Tabla5121314_34591928[[#This Row],[No. Exp]],Tabla6[],3)</f>
        <v>72112711303</v>
      </c>
      <c r="D187" s="312">
        <v>192</v>
      </c>
      <c r="E187" s="294">
        <f>VLOOKUP(Tabla5121314_34591928[[#This Row],[No. Exp]],Tabla6[],5)</f>
        <v>40.103999999999999</v>
      </c>
      <c r="F187" s="294">
        <f>ROUND(Tabla5121314_34591928[[#This Row],[Horas trabajadas]]*Tabla5121314_34591928[[#This Row],[Tarifas x Horas]],0)</f>
        <v>7700</v>
      </c>
      <c r="G187" s="294"/>
      <c r="H187" s="294">
        <f>Tabla5121314_34591928[[#This Row],[A Cobrar]]+Tabla5121314_34591928[[#This Row],[Bonif]]</f>
        <v>7700</v>
      </c>
      <c r="I187" s="297"/>
      <c r="J187" s="296"/>
      <c r="K187" s="294" cm="1">
        <f t="array" ref="K187">MMULT(Tabla5121314_34591928[[#This Row],[Tarifas x Horas]],8)*Tabla5121314_34591928[[#This Row],[Vacaciones]]</f>
        <v>0</v>
      </c>
      <c r="L187" s="294">
        <f>Tabla5121314_34591928[[#This Row],[Sal. Dev]]-Tabla5121314_34591928[[#This Row],[Ausencias]]+Tabla5121314_34591928[[#This Row],[pago x vacaciones]]</f>
        <v>7700</v>
      </c>
      <c r="M187" s="294">
        <f>5%*Tabla5121314_34591928[[#This Row],[Salario Neto]]</f>
        <v>385</v>
      </c>
      <c r="N187" s="294">
        <v>187.5</v>
      </c>
      <c r="O187" s="294"/>
      <c r="P187" s="298">
        <f>Tabla5121314_34591928[[#This Row],[Sal. Dev]]-Tabla5121314_34591928[[#This Row],[Ausencias]]+Tabla5121314_34591928[[#This Row],[pago x vacaciones]]-Tabla5121314_34591928[[#This Row],[importe Seg Social]]-Tabla5121314_34591928[[#This Row],[Imp. Sobr. Ing. Per 3% (3260.00-9510.00)]]</f>
        <v>7127.5</v>
      </c>
    </row>
    <row r="188" spans="1:17" ht="62.15" customHeight="1">
      <c r="A188" s="300">
        <v>21</v>
      </c>
      <c r="B188" s="303" t="str">
        <f>VLOOKUP(Tabla5121314_34591928[[#This Row],[No. Exp]],Tabla6[],2)</f>
        <v>Raymel Pérez Hernández</v>
      </c>
      <c r="C188" s="300" t="str">
        <f>VLOOKUP(Tabla5121314_34591928[[#This Row],[No. Exp]],Tabla6[],3)</f>
        <v>99030806188</v>
      </c>
      <c r="D188" s="312">
        <v>192</v>
      </c>
      <c r="E188" s="294">
        <f>VLOOKUP(Tabla5121314_34591928[[#This Row],[No. Exp]],Tabla6[],5)</f>
        <v>40.103999999999999</v>
      </c>
      <c r="F188" s="299">
        <f>ROUND(Tabla5121314_34591928[[#This Row],[Horas trabajadas]]*Tabla5121314_34591928[[#This Row],[Tarifas x Horas]],0)</f>
        <v>7700</v>
      </c>
      <c r="G188" s="299"/>
      <c r="H188" s="299">
        <f>Tabla5121314_34591928[[#This Row],[A Cobrar]]+Tabla5121314_34591928[[#This Row],[Bonif]]</f>
        <v>7700</v>
      </c>
      <c r="I188" s="313"/>
      <c r="J188" s="296"/>
      <c r="K188" s="294" cm="1">
        <f t="array" ref="K188">MMULT(Tabla5121314_34591928[[#This Row],[Tarifas x Horas]],8)*Tabla5121314_34591928[[#This Row],[Vacaciones]]</f>
        <v>0</v>
      </c>
      <c r="L188" s="294">
        <f>Tabla5121314_34591928[[#This Row],[Sal. Dev]]-Tabla5121314_34591928[[#This Row],[Ausencias]]+Tabla5121314_34591928[[#This Row],[pago x vacaciones]]</f>
        <v>7700</v>
      </c>
      <c r="M188" s="294">
        <f>5%*Tabla5121314_34591928[[#This Row],[Salario Neto]]</f>
        <v>385</v>
      </c>
      <c r="N188" s="294">
        <v>187.5</v>
      </c>
      <c r="O188" s="294"/>
      <c r="P188" s="298">
        <f>Tabla5121314_34591928[[#This Row],[Sal. Dev]]-Tabla5121314_34591928[[#This Row],[Ausencias]]+Tabla5121314_34591928[[#This Row],[pago x vacaciones]]-Tabla5121314_34591928[[#This Row],[importe Seg Social]]-Tabla5121314_34591928[[#This Row],[Imp. Sobr. Ing. Per 3% (3260.00-9510.00)]]</f>
        <v>7127.5</v>
      </c>
    </row>
    <row r="189" spans="1:17" ht="59.15" customHeight="1">
      <c r="A189" s="300">
        <v>22</v>
      </c>
      <c r="B189" s="303" t="str">
        <f>VLOOKUP(Tabla5121314_34591928[[#This Row],[No. Exp]],Tabla6[],2)</f>
        <v xml:space="preserve">Amaury Acosta Hernández </v>
      </c>
      <c r="C189" s="300">
        <f>VLOOKUP(Tabla5121314_34591928[[#This Row],[No. Exp]],Tabla6[],3)</f>
        <v>73111309364</v>
      </c>
      <c r="D189" s="312">
        <v>192</v>
      </c>
      <c r="E189" s="294">
        <f>VLOOKUP(Tabla5121314_34591928[[#This Row],[No. Exp]],Tabla6[],5)</f>
        <v>40.103999999999999</v>
      </c>
      <c r="F189" s="299">
        <f>ROUND(Tabla5121314_34591928[[#This Row],[Horas trabajadas]]*Tabla5121314_34591928[[#This Row],[Tarifas x Horas]],0)</f>
        <v>7700</v>
      </c>
      <c r="G189" s="299"/>
      <c r="H189" s="299">
        <f>Tabla5121314_34591928[[#This Row],[A Cobrar]]+Tabla5121314_34591928[[#This Row],[Bonif]]</f>
        <v>7700</v>
      </c>
      <c r="I189" s="313"/>
      <c r="J189" s="296"/>
      <c r="K189" s="294" cm="1">
        <f t="array" ref="K189">MMULT(Tabla5121314_34591928[[#This Row],[Tarifas x Horas]],8)*Tabla5121314_34591928[[#This Row],[Vacaciones]]</f>
        <v>0</v>
      </c>
      <c r="L189" s="294">
        <f>Tabla5121314_34591928[[#This Row],[Sal. Dev]]-Tabla5121314_34591928[[#This Row],[Ausencias]]+Tabla5121314_34591928[[#This Row],[pago x vacaciones]]</f>
        <v>7700</v>
      </c>
      <c r="M189" s="294">
        <f>5%*Tabla5121314_34591928[[#This Row],[Salario Neto]]</f>
        <v>385</v>
      </c>
      <c r="N189" s="294">
        <v>187.5</v>
      </c>
      <c r="O189" s="294"/>
      <c r="P189" s="298">
        <f>Tabla5121314_34591928[[#This Row],[Sal. Dev]]-Tabla5121314_34591928[[#This Row],[Ausencias]]+Tabla5121314_34591928[[#This Row],[pago x vacaciones]]-Tabla5121314_34591928[[#This Row],[importe Seg Social]]-Tabla5121314_34591928[[#This Row],[Imp. Sobr. Ing. Per 3% (3260.00-9510.00)]]</f>
        <v>7127.5</v>
      </c>
    </row>
    <row r="190" spans="1:17" ht="68.599999999999994" customHeight="1">
      <c r="A190" s="300">
        <v>23</v>
      </c>
      <c r="B190" s="303" t="str">
        <f>VLOOKUP(Tabla5121314_34591928[[#This Row],[No. Exp]],Tabla6[],2)</f>
        <v>Bernardo Alfredo Zamora Sánchez</v>
      </c>
      <c r="C190" s="300">
        <f>VLOOKUP(Tabla5121314_34591928[[#This Row],[No. Exp]],Tabla6[],3)</f>
        <v>63082002294</v>
      </c>
      <c r="D190" s="312">
        <v>192</v>
      </c>
      <c r="E190" s="294">
        <f>VLOOKUP(Tabla5121314_34591928[[#This Row],[No. Exp]],Tabla6[],5)</f>
        <v>40.103999999999999</v>
      </c>
      <c r="F190" s="299">
        <f>ROUND(Tabla5121314_34591928[[#This Row],[Horas trabajadas]]*Tabla5121314_34591928[[#This Row],[Tarifas x Horas]],0)</f>
        <v>7700</v>
      </c>
      <c r="G190" s="299"/>
      <c r="H190" s="299">
        <f>Tabla5121314_34591928[[#This Row],[A Cobrar]]+Tabla5121314_34591928[[#This Row],[Bonif]]</f>
        <v>7700</v>
      </c>
      <c r="I190" s="313"/>
      <c r="J190" s="296"/>
      <c r="K190" s="294" cm="1">
        <f t="array" ref="K190">MMULT(Tabla5121314_34591928[[#This Row],[Tarifas x Horas]],8)*Tabla5121314_34591928[[#This Row],[Vacaciones]]</f>
        <v>0</v>
      </c>
      <c r="L190" s="294">
        <f>Tabla5121314_34591928[[#This Row],[Sal. Dev]]-Tabla5121314_34591928[[#This Row],[Ausencias]]+Tabla5121314_34591928[[#This Row],[pago x vacaciones]]</f>
        <v>7700</v>
      </c>
      <c r="M190" s="294">
        <f>5%*Tabla5121314_34591928[[#This Row],[Salario Neto]]</f>
        <v>385</v>
      </c>
      <c r="N190" s="294">
        <v>187.5</v>
      </c>
      <c r="O190" s="294"/>
      <c r="P190" s="298">
        <f>Tabla5121314_34591928[[#This Row],[Sal. Dev]]-Tabla5121314_34591928[[#This Row],[Ausencias]]+Tabla5121314_34591928[[#This Row],[pago x vacaciones]]-Tabla5121314_34591928[[#This Row],[importe Seg Social]]-Tabla5121314_34591928[[#This Row],[Imp. Sobr. Ing. Per 3% (3260.00-9510.00)]]</f>
        <v>7127.5</v>
      </c>
    </row>
    <row r="191" spans="1:17" s="154" customFormat="1" ht="74.150000000000006" customHeight="1">
      <c r="A191" s="300">
        <v>24</v>
      </c>
      <c r="B191" s="303" t="str">
        <f>VLOOKUP(Tabla5121314_34591928[[#This Row],[No. Exp]],Tabla6[],2)</f>
        <v xml:space="preserve">José Zorrilla Aguilar </v>
      </c>
      <c r="C191" s="300">
        <f>VLOOKUP(Tabla5121314_34591928[[#This Row],[No. Exp]],Tabla6[],3)</f>
        <v>57082706245</v>
      </c>
      <c r="D191" s="312">
        <v>192</v>
      </c>
      <c r="E191" s="294">
        <f>VLOOKUP(Tabla5121314_34591928[[#This Row],[No. Exp]],Tabla6[],5)</f>
        <v>40.103999999999999</v>
      </c>
      <c r="F191" s="299">
        <f>ROUND(Tabla5121314_34591928[[#This Row],[Horas trabajadas]]*Tabla5121314_34591928[[#This Row],[Tarifas x Horas]],0)</f>
        <v>7700</v>
      </c>
      <c r="G191" s="299"/>
      <c r="H191" s="299">
        <f>Tabla5121314_34591928[[#This Row],[A Cobrar]]+Tabla5121314_34591928[[#This Row],[Bonif]]</f>
        <v>7700</v>
      </c>
      <c r="I191" s="313"/>
      <c r="J191" s="296"/>
      <c r="K191" s="294" cm="1">
        <f t="array" ref="K191">MMULT(Tabla5121314_34591928[[#This Row],[Tarifas x Horas]],8)*Tabla5121314_34591928[[#This Row],[Vacaciones]]</f>
        <v>0</v>
      </c>
      <c r="L191" s="294">
        <f>Tabla5121314_34591928[[#This Row],[Sal. Dev]]-Tabla5121314_34591928[[#This Row],[Ausencias]]+Tabla5121314_34591928[[#This Row],[pago x vacaciones]]</f>
        <v>7700</v>
      </c>
      <c r="M191" s="294">
        <f>5%*Tabla5121314_34591928[[#This Row],[Salario Neto]]</f>
        <v>385</v>
      </c>
      <c r="N191" s="294">
        <v>187.5</v>
      </c>
      <c r="O191" s="294"/>
      <c r="P191" s="298">
        <f>Tabla5121314_34591928[[#This Row],[Sal. Dev]]-Tabla5121314_34591928[[#This Row],[Ausencias]]+Tabla5121314_34591928[[#This Row],[pago x vacaciones]]-Tabla5121314_34591928[[#This Row],[importe Seg Social]]-Tabla5121314_34591928[[#This Row],[Imp. Sobr. Ing. Per 3% (3260.00-9510.00)]]</f>
        <v>7127.5</v>
      </c>
      <c r="Q191" s="140"/>
    </row>
    <row r="192" spans="1:17" ht="70.3" customHeight="1">
      <c r="A192" s="300">
        <v>118</v>
      </c>
      <c r="B192" s="303" t="str">
        <f>VLOOKUP(Tabla5121314_34591928[[#This Row],[No. Exp]],Tabla6[],2)</f>
        <v>Ivan Agustin Hernandez Gonzalez</v>
      </c>
      <c r="C192" s="300">
        <f>VLOOKUP(Tabla5121314_34591928[[#This Row],[No. Exp]],Tabla6[],3)</f>
        <v>70050301761</v>
      </c>
      <c r="D192" s="312">
        <v>192</v>
      </c>
      <c r="E192" s="294">
        <f>VLOOKUP(Tabla5121314_34591928[[#This Row],[No. Exp]],Tabla6[],5)</f>
        <v>40.103999999999999</v>
      </c>
      <c r="F192" s="299">
        <f>ROUND(Tabla5121314_34591928[[#This Row],[Horas trabajadas]]*Tabla5121314_34591928[[#This Row],[Tarifas x Horas]],0)</f>
        <v>7700</v>
      </c>
      <c r="G192" s="299"/>
      <c r="H192" s="299">
        <f>Tabla5121314_34591928[[#This Row],[A Cobrar]]+Tabla5121314_34591928[[#This Row],[Bonif]]</f>
        <v>7700</v>
      </c>
      <c r="I192" s="313"/>
      <c r="J192" s="296"/>
      <c r="K192" s="294" cm="1">
        <f t="array" ref="K192">MMULT(Tabla5121314_34591928[[#This Row],[Tarifas x Horas]],8)*Tabla5121314_34591928[[#This Row],[Vacaciones]]</f>
        <v>0</v>
      </c>
      <c r="L192" s="294">
        <f>Tabla5121314_34591928[[#This Row],[Sal. Dev]]-Tabla5121314_34591928[[#This Row],[Ausencias]]+Tabla5121314_34591928[[#This Row],[pago x vacaciones]]</f>
        <v>7700</v>
      </c>
      <c r="M192" s="294">
        <f>5%*Tabla5121314_34591928[[#This Row],[Salario Neto]]</f>
        <v>385</v>
      </c>
      <c r="N192" s="294">
        <v>187.5</v>
      </c>
      <c r="O192" s="294"/>
      <c r="P192" s="298">
        <f>Tabla5121314_34591928[[#This Row],[Sal. Dev]]-Tabla5121314_34591928[[#This Row],[Ausencias]]+Tabla5121314_34591928[[#This Row],[pago x vacaciones]]-Tabla5121314_34591928[[#This Row],[importe Seg Social]]-Tabla5121314_34591928[[#This Row],[Imp. Sobr. Ing. Per 3% (3260.00-9510.00)]]-Tabla5121314_34591928[[#This Row],[Imp. Sobr. Ing. Per 5% (9510.00-15000.00)]]</f>
        <v>7127.5</v>
      </c>
    </row>
    <row r="193" spans="1:34" ht="37.299999999999997">
      <c r="A193" s="300"/>
      <c r="B193" s="303"/>
      <c r="C193" s="300"/>
      <c r="D193" s="328"/>
      <c r="E193" s="329"/>
      <c r="F193" s="300"/>
      <c r="G193" s="300"/>
      <c r="H193" s="300"/>
      <c r="I193" s="330"/>
      <c r="J193" s="331"/>
      <c r="K193" s="329"/>
      <c r="L193" s="292"/>
      <c r="M193" s="292"/>
      <c r="N193" s="329"/>
      <c r="O193" s="332"/>
      <c r="P193" s="300"/>
    </row>
    <row r="194" spans="1:34">
      <c r="A194" s="174"/>
      <c r="B194" s="193"/>
      <c r="C194" s="174"/>
      <c r="D194" s="174"/>
      <c r="E194" s="191"/>
      <c r="F194" s="195"/>
      <c r="G194" s="174"/>
      <c r="H194" s="174"/>
      <c r="I194" s="186"/>
      <c r="J194" s="174"/>
      <c r="K194" s="174"/>
      <c r="L194" s="174"/>
      <c r="M194" s="174"/>
      <c r="N194" s="174"/>
      <c r="O194" s="174"/>
      <c r="P194" s="174"/>
    </row>
    <row r="195" spans="1:34" ht="45.45">
      <c r="A195" s="459" t="s">
        <v>0</v>
      </c>
      <c r="B195" s="459"/>
      <c r="C195" s="180"/>
      <c r="D195" s="180"/>
      <c r="E195" s="174"/>
      <c r="F195" s="174"/>
      <c r="G195" s="174"/>
      <c r="H195" s="174"/>
      <c r="I195" s="189" t="s">
        <v>1</v>
      </c>
      <c r="J195" s="189" t="s">
        <v>2</v>
      </c>
      <c r="K195" s="269">
        <f>K180</f>
        <v>45962</v>
      </c>
      <c r="L195" s="270" t="s">
        <v>3</v>
      </c>
      <c r="M195" s="269">
        <f>M180</f>
        <v>45991</v>
      </c>
      <c r="N195" s="181"/>
      <c r="O195" s="174"/>
      <c r="P195" s="174"/>
    </row>
    <row r="196" spans="1:34" ht="27.9">
      <c r="A196" s="469" t="s">
        <v>4</v>
      </c>
      <c r="B196" s="469"/>
      <c r="C196" s="267" t="str">
        <f>C181</f>
        <v>Amanda Marcano Bahler</v>
      </c>
      <c r="D196" s="190"/>
      <c r="E196" s="174"/>
      <c r="F196" s="174"/>
      <c r="G196" s="174"/>
      <c r="H196" s="174"/>
      <c r="I196" s="190"/>
      <c r="J196" s="190"/>
      <c r="K196" s="190"/>
      <c r="L196" s="190"/>
      <c r="M196" s="190"/>
      <c r="N196" s="174"/>
      <c r="O196" s="174"/>
      <c r="P196" s="174"/>
    </row>
    <row r="197" spans="1:34" ht="27.9">
      <c r="A197" s="469" t="s">
        <v>5</v>
      </c>
      <c r="B197" s="469"/>
      <c r="C197" s="268"/>
      <c r="D197" s="190"/>
      <c r="E197" s="174"/>
      <c r="F197" s="174"/>
      <c r="G197" s="174"/>
      <c r="H197" s="174"/>
      <c r="I197" s="190"/>
      <c r="J197" s="190"/>
      <c r="K197" s="190"/>
      <c r="L197" s="190" t="str">
        <f>L156</f>
        <v>horas</v>
      </c>
      <c r="M197" s="267">
        <f>M156</f>
        <v>192</v>
      </c>
      <c r="N197" s="174"/>
      <c r="O197" s="174"/>
      <c r="P197" s="174"/>
    </row>
    <row r="198" spans="1:34" s="152" customFormat="1" ht="27.9">
      <c r="A198" s="190"/>
      <c r="B198" s="190"/>
      <c r="C198" s="190"/>
      <c r="D198" s="190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  <c r="AA198" s="160"/>
      <c r="AB198" s="160"/>
      <c r="AC198" s="160"/>
      <c r="AD198" s="160"/>
      <c r="AE198" s="160"/>
      <c r="AF198" s="140"/>
      <c r="AG198" s="140"/>
      <c r="AH198" s="161"/>
    </row>
    <row r="199" spans="1:34" s="162" customFormat="1" ht="102.45" customHeight="1">
      <c r="A199" s="287" t="s">
        <v>7</v>
      </c>
      <c r="B199" s="287"/>
      <c r="C199" s="425" t="s">
        <v>23</v>
      </c>
      <c r="D199" s="174"/>
      <c r="E199" s="174"/>
      <c r="F199" s="174"/>
      <c r="G199" s="174"/>
      <c r="H199" s="174"/>
      <c r="I199" s="174"/>
      <c r="J199" s="174"/>
      <c r="K199" s="174"/>
      <c r="L199" s="457" t="s">
        <v>9</v>
      </c>
      <c r="M199" s="457"/>
      <c r="N199" s="174"/>
      <c r="O199" s="174"/>
      <c r="P199" s="288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  <c r="AA199" s="160"/>
      <c r="AB199" s="160"/>
      <c r="AC199" s="160"/>
      <c r="AD199" s="160"/>
      <c r="AE199" s="160"/>
      <c r="AF199" s="160"/>
      <c r="AG199" s="140"/>
      <c r="AH199" s="140"/>
    </row>
    <row r="200" spans="1:34" s="154" customFormat="1" ht="56.6" customHeight="1">
      <c r="A200" s="316" t="s">
        <v>10</v>
      </c>
      <c r="B200" s="316" t="s">
        <v>11</v>
      </c>
      <c r="C200" s="316" t="s">
        <v>12</v>
      </c>
      <c r="D200" s="316" t="s">
        <v>201</v>
      </c>
      <c r="E200" s="316" t="s">
        <v>200</v>
      </c>
      <c r="F200" s="316" t="s">
        <v>13</v>
      </c>
      <c r="G200" s="316" t="s">
        <v>14</v>
      </c>
      <c r="H200" s="317" t="s">
        <v>15</v>
      </c>
      <c r="I200" s="316" t="s">
        <v>197</v>
      </c>
      <c r="J200" s="317" t="s">
        <v>9</v>
      </c>
      <c r="K200" s="317" t="s">
        <v>16</v>
      </c>
      <c r="L200" s="316" t="s">
        <v>196</v>
      </c>
      <c r="M200" s="316" t="s">
        <v>194</v>
      </c>
      <c r="N200" s="316" t="s">
        <v>240</v>
      </c>
      <c r="O200" s="333" t="s">
        <v>241</v>
      </c>
      <c r="P200" s="334" t="s">
        <v>191</v>
      </c>
    </row>
    <row r="201" spans="1:34" s="154" customFormat="1" ht="56.6" customHeight="1">
      <c r="A201" s="335">
        <v>127</v>
      </c>
      <c r="B201" s="338" t="str">
        <f>VLOOKUP(Tabla5121314_3451827[[#This Row],[No. Exp]],Tabla6[],2)</f>
        <v>Yosván Ávila Berbén</v>
      </c>
      <c r="C201" s="338">
        <f>VLOOKUP(Tabla5121314_3451827[[#This Row],[No. Exp]],Tabla6[],3)</f>
        <v>89061940022</v>
      </c>
      <c r="D201" s="342">
        <v>272</v>
      </c>
      <c r="E201" s="342">
        <f>VLOOKUP(Tabla5121314_3451827[[#This Row],[No. Exp]],Tabla6[],5)</f>
        <v>39.583333333299997</v>
      </c>
      <c r="F201" s="342">
        <f>ROUND(Tabla5121314_3451827[[#This Row],[Horas trabajadas]]*Tabla5121314_3451827[[#This Row],[Tarifas x Horas]],0)</f>
        <v>10767</v>
      </c>
      <c r="G201" s="342"/>
      <c r="H201" s="342">
        <f>Tabla5121314_3451827[[#This Row],[A Cobrar]]+Tabla5121314_3451827[[#This Row],[Bonif]]</f>
        <v>10767</v>
      </c>
      <c r="I201" s="338"/>
      <c r="J201" s="424"/>
      <c r="K201" s="343" cm="1">
        <f t="array" ref="K201">MMULT(Tabla5121314_3451827[[#This Row],[Tarifas x Horas]],8)*Tabla5121314_3451827[[#This Row],[Vacaciones]]</f>
        <v>0</v>
      </c>
      <c r="L201" s="342">
        <f>Tabla5121314_3451827[[#This Row],[Sal. Dev]]-Tabla5121314_3451827[[#This Row],[Ausencias]]</f>
        <v>10767</v>
      </c>
      <c r="M201" s="342">
        <f>5%*Tabla5121314_3451827[[#This Row],[Salario Neto]]</f>
        <v>538.35</v>
      </c>
      <c r="N201" s="342">
        <v>187.5</v>
      </c>
      <c r="O201" s="342">
        <f>(Tabla5121314_3451827[[#This Row],[Salario Neto]]-9510)*5%</f>
        <v>62.85</v>
      </c>
      <c r="P201" s="343">
        <f>Tabla5121314_3451827[[#This Row],[Sal. Dev]]-Tabla5121314_3451827[[#This Row],[Ausencias]]+Tabla5121314_3451827[[#This Row],[pago x vacaciones]]-Tabla5121314_3451827[[#This Row],[importe Seg Social]]-Tabla5121314_3451827[[#This Row],[Imp. Sobr. Ing. Per 3% (3260.00-9510.00)]]-Tabla5121314_3451827[[#This Row],[Imp. Sobr. Ing. Per 5% (9510.00-15000.00)]]</f>
        <v>9978.2999999999993</v>
      </c>
    </row>
    <row r="202" spans="1:34" ht="60" customHeight="1">
      <c r="A202" s="390">
        <v>113</v>
      </c>
      <c r="B202" s="301" t="str">
        <f>VLOOKUP(Tabla5121314_3451827[[#This Row],[No. Exp]],Tabla6[],2)</f>
        <v>Nurbi Selma Osoria</v>
      </c>
      <c r="C202" s="301">
        <f>VLOOKUP(Tabla5121314_3451827[[#This Row],[No. Exp]],Tabla6[],3)</f>
        <v>69060615979</v>
      </c>
      <c r="D202" s="328">
        <f>M197</f>
        <v>192</v>
      </c>
      <c r="E202" s="328">
        <f>VLOOKUP(Tabla5121314_3451827[[#This Row],[No. Exp]],Tabla6[],5)</f>
        <v>39.06</v>
      </c>
      <c r="F202" s="329">
        <f>ROUND(Tabla5121314_3451827[[#This Row],[Horas trabajadas]]*Tabla5121314_3451827[[#This Row],[Tarifas x Horas]],0)</f>
        <v>7500</v>
      </c>
      <c r="G202" s="329"/>
      <c r="H202" s="329">
        <f>Tabla5121314_3451827[[#This Row],[A Cobrar]]+Tabla5121314_3451827[[#This Row],[Bonif]]</f>
        <v>7500</v>
      </c>
      <c r="I202" s="345"/>
      <c r="J202" s="331"/>
      <c r="K202" s="329" cm="1">
        <f t="array" ref="K202">MMULT(Tabla5121314_3451827[[#This Row],[Tarifas x Horas]],8)*Tabla5121314_3451827[[#This Row],[Vacaciones]]</f>
        <v>0</v>
      </c>
      <c r="L202" s="329">
        <f>Tabla5121314_3451827[[#This Row],[Sal. Dev]]-Tabla5121314_3451827[[#This Row],[Ausencias]]</f>
        <v>7500</v>
      </c>
      <c r="M202" s="329">
        <f>5%*Tabla5121314_3451827[[#This Row],[Salario Neto]]</f>
        <v>375</v>
      </c>
      <c r="N202" s="329">
        <v>187.5</v>
      </c>
      <c r="O202" s="329"/>
      <c r="P202" s="332">
        <f>Tabla5121314_3451827[[#This Row],[Sal. Dev]]-Tabla5121314_3451827[[#This Row],[Ausencias]]+Tabla5121314_3451827[[#This Row],[pago x vacaciones]]-Tabla5121314_3451827[[#This Row],[importe Seg Social]]-Tabla5121314_3451827[[#This Row],[Imp. Sobr. Ing. Per 3% (3260.00-9510.00)]]</f>
        <v>6937.5</v>
      </c>
    </row>
    <row r="203" spans="1:34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</row>
    <row r="204" spans="1:34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</row>
    <row r="205" spans="1:34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</row>
    <row r="206" spans="1:34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</row>
    <row r="207" spans="1:34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</row>
    <row r="208" spans="1:34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</row>
    <row r="209" spans="1:16">
      <c r="A209" s="174"/>
      <c r="B209" s="266" t="s">
        <v>210</v>
      </c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</row>
    <row r="210" spans="1:16">
      <c r="A210" s="174"/>
      <c r="B210" s="460"/>
      <c r="C210" s="460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</row>
    <row r="211" spans="1:16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</row>
    <row r="212" spans="1:16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</row>
  </sheetData>
  <mergeCells count="42">
    <mergeCell ref="A5:B5"/>
    <mergeCell ref="A6:B6"/>
    <mergeCell ref="A7:B7"/>
    <mergeCell ref="A9:B9"/>
    <mergeCell ref="L9:M9"/>
    <mergeCell ref="L27:M27"/>
    <mergeCell ref="A68:B68"/>
    <mergeCell ref="A69:B69"/>
    <mergeCell ref="A70:B70"/>
    <mergeCell ref="A72:B72"/>
    <mergeCell ref="L72:M72"/>
    <mergeCell ref="A24:B24"/>
    <mergeCell ref="A156:B156"/>
    <mergeCell ref="A101:B101"/>
    <mergeCell ref="A102:B102"/>
    <mergeCell ref="A104:B104"/>
    <mergeCell ref="A154:B154"/>
    <mergeCell ref="A155:B155"/>
    <mergeCell ref="A100:B100"/>
    <mergeCell ref="A25:B25"/>
    <mergeCell ref="A26:B26"/>
    <mergeCell ref="A27:B27"/>
    <mergeCell ref="B92:C92"/>
    <mergeCell ref="B96:C96"/>
    <mergeCell ref="L104:M104"/>
    <mergeCell ref="B118:C118"/>
    <mergeCell ref="A124:B124"/>
    <mergeCell ref="A125:B125"/>
    <mergeCell ref="A127:B127"/>
    <mergeCell ref="L127:M127"/>
    <mergeCell ref="A158:B158"/>
    <mergeCell ref="L158:M158"/>
    <mergeCell ref="A180:B180"/>
    <mergeCell ref="A181:B181"/>
    <mergeCell ref="A182:B182"/>
    <mergeCell ref="L199:M199"/>
    <mergeCell ref="B210:C210"/>
    <mergeCell ref="A184:B184"/>
    <mergeCell ref="L184:M184"/>
    <mergeCell ref="A195:B195"/>
    <mergeCell ref="A196:B196"/>
    <mergeCell ref="A197:B197"/>
  </mergeCells>
  <pageMargins left="0.70866141732283472" right="0.70866141732283472" top="0.74803149606299213" bottom="0.74803149606299213" header="0.31496062992125984" footer="0.31496062992125984"/>
  <pageSetup scale="21" orientation="landscape" errors="blank" r:id="rId1"/>
  <headerFooter>
    <oddHeader>&amp;R&amp;P de &amp;N paginas</oddHeader>
  </headerFooter>
  <rowBreaks count="6" manualBreakCount="6">
    <brk id="23" max="15" man="1"/>
    <brk id="64" max="15" man="1"/>
    <brk id="99" max="15" man="1"/>
    <brk id="152" max="15" man="1"/>
    <brk id="193" max="15" man="1"/>
    <brk id="209" max="16383" man="1"/>
  </rowBreaks>
  <colBreaks count="1" manualBreakCount="1">
    <brk id="17" min="4" max="210" man="1"/>
  </colBreaks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BB0CF-E856-4A3C-8684-AF857161A0B0}">
  <dimension ref="A1:P8"/>
  <sheetViews>
    <sheetView view="pageBreakPreview" zoomScale="27" zoomScaleNormal="100" zoomScaleSheetLayoutView="27" workbookViewId="0">
      <selection activeCell="D45" sqref="D45"/>
    </sheetView>
  </sheetViews>
  <sheetFormatPr baseColWidth="10" defaultRowHeight="14.6"/>
  <cols>
    <col min="1" max="1" width="17.61328125" customWidth="1"/>
    <col min="2" max="2" width="120.921875" customWidth="1"/>
    <col min="3" max="3" width="63.84375" customWidth="1"/>
    <col min="4" max="4" width="49.3046875" customWidth="1"/>
    <col min="5" max="5" width="28.69140625" customWidth="1"/>
    <col min="6" max="6" width="24.61328125" customWidth="1"/>
    <col min="7" max="7" width="22.3828125" customWidth="1"/>
    <col min="8" max="8" width="22.84375" customWidth="1"/>
    <col min="9" max="9" width="19.07421875" customWidth="1"/>
    <col min="10" max="10" width="29" customWidth="1"/>
    <col min="11" max="11" width="58.3828125" customWidth="1"/>
    <col min="12" max="12" width="49" customWidth="1"/>
    <col min="13" max="13" width="55.23046875" customWidth="1"/>
    <col min="14" max="14" width="40.53515625" customWidth="1"/>
    <col min="15" max="15" width="41.23046875" customWidth="1"/>
    <col min="16" max="16" width="55.4609375" customWidth="1"/>
  </cols>
  <sheetData>
    <row r="1" spans="1:16" ht="60">
      <c r="A1" s="472" t="s">
        <v>0</v>
      </c>
      <c r="B1" s="472"/>
      <c r="C1" s="428"/>
      <c r="D1" s="428"/>
      <c r="E1" s="429"/>
      <c r="F1" s="429"/>
      <c r="G1" s="429"/>
      <c r="H1" s="429"/>
      <c r="I1" s="430" t="s">
        <v>1</v>
      </c>
      <c r="J1" s="430" t="s">
        <v>2</v>
      </c>
      <c r="K1" s="431">
        <f>1/11/2025</f>
        <v>4.4893378226711559E-5</v>
      </c>
      <c r="L1" s="432" t="s">
        <v>3</v>
      </c>
      <c r="M1" s="431">
        <f>1/11/2025</f>
        <v>4.4893378226711559E-5</v>
      </c>
      <c r="N1" s="430"/>
      <c r="O1" s="429"/>
      <c r="P1" s="429"/>
    </row>
    <row r="2" spans="1:16" ht="60">
      <c r="A2" s="473" t="s">
        <v>4</v>
      </c>
      <c r="B2" s="473"/>
      <c r="C2" s="433" t="s">
        <v>251</v>
      </c>
      <c r="D2" s="429"/>
      <c r="E2" s="429"/>
      <c r="F2" s="429"/>
      <c r="G2" s="429"/>
      <c r="H2" s="429"/>
      <c r="I2" s="429"/>
      <c r="J2" s="429"/>
      <c r="K2" s="429"/>
      <c r="L2" s="429"/>
      <c r="M2" s="429"/>
      <c r="N2" s="429"/>
      <c r="O2" s="429"/>
      <c r="P2" s="429"/>
    </row>
    <row r="3" spans="1:16" ht="60">
      <c r="A3" s="473" t="s">
        <v>5</v>
      </c>
      <c r="B3" s="473"/>
      <c r="C3" s="434"/>
      <c r="D3" s="429"/>
      <c r="E3" s="429"/>
      <c r="F3" s="429"/>
      <c r="G3" s="429"/>
      <c r="H3" s="429"/>
      <c r="I3" s="429"/>
      <c r="J3" s="429"/>
      <c r="K3" s="429"/>
      <c r="L3" s="429" t="s">
        <v>250</v>
      </c>
      <c r="M3" s="433">
        <v>192</v>
      </c>
      <c r="N3" s="429"/>
      <c r="O3" s="429"/>
      <c r="P3" s="429"/>
    </row>
    <row r="4" spans="1:16" ht="60">
      <c r="A4" s="429"/>
      <c r="B4" s="429"/>
      <c r="C4" s="429"/>
      <c r="D4" s="429"/>
      <c r="E4" s="429"/>
      <c r="F4" s="429"/>
      <c r="G4" s="429"/>
      <c r="H4" s="429"/>
      <c r="I4" s="429"/>
      <c r="J4" s="429"/>
      <c r="K4" s="429"/>
      <c r="L4" s="429"/>
      <c r="M4" s="429"/>
      <c r="N4" s="429"/>
      <c r="O4" s="429"/>
      <c r="P4" s="429"/>
    </row>
    <row r="5" spans="1:16" ht="60">
      <c r="A5" s="435" t="s">
        <v>7</v>
      </c>
      <c r="B5" s="435"/>
      <c r="C5" s="436" t="s">
        <v>9</v>
      </c>
      <c r="D5" s="429"/>
      <c r="E5" s="429"/>
      <c r="F5" s="429"/>
      <c r="G5" s="429"/>
      <c r="H5" s="429"/>
      <c r="I5" s="429"/>
      <c r="J5" s="429"/>
      <c r="K5" s="429"/>
      <c r="L5" s="474" t="s">
        <v>9</v>
      </c>
      <c r="M5" s="474"/>
      <c r="N5" s="429"/>
      <c r="O5" s="429"/>
      <c r="P5" s="437"/>
    </row>
    <row r="6" spans="1:16" ht="107.6" customHeight="1">
      <c r="A6" s="438" t="s">
        <v>10</v>
      </c>
      <c r="B6" s="438" t="s">
        <v>11</v>
      </c>
      <c r="C6" s="438" t="s">
        <v>12</v>
      </c>
      <c r="D6" s="438" t="s">
        <v>201</v>
      </c>
      <c r="E6" s="438" t="s">
        <v>200</v>
      </c>
      <c r="F6" s="438" t="s">
        <v>13</v>
      </c>
      <c r="G6" s="438" t="s">
        <v>14</v>
      </c>
      <c r="H6" s="439" t="s">
        <v>15</v>
      </c>
      <c r="I6" s="438" t="s">
        <v>197</v>
      </c>
      <c r="J6" s="439" t="s">
        <v>9</v>
      </c>
      <c r="K6" s="439" t="s">
        <v>16</v>
      </c>
      <c r="L6" s="438" t="s">
        <v>196</v>
      </c>
      <c r="M6" s="438" t="s">
        <v>194</v>
      </c>
      <c r="N6" s="438" t="s">
        <v>240</v>
      </c>
      <c r="O6" s="440" t="s">
        <v>241</v>
      </c>
      <c r="P6" s="441" t="s">
        <v>191</v>
      </c>
    </row>
    <row r="7" spans="1:16" ht="114.9" customHeight="1">
      <c r="A7" s="430">
        <v>101</v>
      </c>
      <c r="B7" s="430" t="str">
        <f>VLOOKUP(Tabla5121314_345182729[[#This Row],[No. Exp]],Tabla6[],2)</f>
        <v>Samuel Fernández Suárez</v>
      </c>
      <c r="C7" s="430" t="str">
        <f>VLOOKUP(Tabla5121314_345182729[[#This Row],[No. Exp]],Tabla6[],3)</f>
        <v>98122020021</v>
      </c>
      <c r="D7" s="442">
        <v>192</v>
      </c>
      <c r="E7" s="442">
        <f>VLOOKUP(Tabla5121314_345182729[[#This Row],[No. Exp]],Tabla6[],5)</f>
        <v>40.625</v>
      </c>
      <c r="F7" s="443"/>
      <c r="G7" s="443"/>
      <c r="H7" s="443"/>
      <c r="I7" s="444"/>
      <c r="J7" s="445">
        <v>5.9</v>
      </c>
      <c r="K7" s="446">
        <v>2506.94</v>
      </c>
      <c r="L7" s="443">
        <f>Tabla5121314_345182729[[#This Row],[Sal. Dev]]-Tabla5121314_345182729[[#This Row],[Ausencias]]</f>
        <v>0</v>
      </c>
      <c r="M7" s="443">
        <f>5%*Tabla5121314_345182729[[#This Row],[Salario Neto]]</f>
        <v>0</v>
      </c>
      <c r="N7" s="446">
        <v>187.5</v>
      </c>
      <c r="O7" s="446"/>
      <c r="P7" s="447">
        <f>Tabla5121314_345182729[[#This Row],[Sal. Dev]]-Tabla5121314_345182729[[#This Row],[Ausencias]]+Tabla5121314_345182729[[#This Row],[pago x vacaciones]]-Tabla5121314_345182729[[#This Row],[importe Seg Social]]-Tabla5121314_345182729[[#This Row],[Imp. Sobr. Ing. Per 3% (3260.00-9510.00)]]</f>
        <v>2319.44</v>
      </c>
    </row>
    <row r="8" spans="1:16" ht="116.6" customHeight="1">
      <c r="A8" s="430">
        <v>32</v>
      </c>
      <c r="B8" s="430" t="str">
        <f>VLOOKUP(Tabla5121314_345182729[[#This Row],[No. Exp]],Tabla6[],2)</f>
        <v>Jaila Victoria Vázquez Delgado</v>
      </c>
      <c r="C8" s="430" t="str">
        <f>VLOOKUP(Tabla5121314_345182729[[#This Row],[No. Exp]],Tabla6[],3)</f>
        <v>02100773092</v>
      </c>
      <c r="D8" s="442">
        <v>192</v>
      </c>
      <c r="E8" s="442">
        <f>VLOOKUP(Tabla5121314_345182729[[#This Row],[No. Exp]],Tabla6[],5)</f>
        <v>41.665999999999997</v>
      </c>
      <c r="F8" s="429"/>
      <c r="G8" s="429"/>
      <c r="H8" s="429"/>
      <c r="I8" s="429"/>
      <c r="J8" s="428">
        <v>20.87</v>
      </c>
      <c r="K8" s="446">
        <v>5283.99</v>
      </c>
      <c r="L8" s="443">
        <f>Tabla5121314_345182729[[#This Row],[Sal. Dev]]-Tabla5121314_345182729[[#This Row],[Ausencias]]</f>
        <v>0</v>
      </c>
      <c r="M8" s="443">
        <f>5%*Tabla5121314_345182729[[#This Row],[Salario Neto]]</f>
        <v>0</v>
      </c>
      <c r="N8" s="446">
        <v>187.5</v>
      </c>
      <c r="O8" s="446"/>
      <c r="P8" s="447">
        <f>Tabla5121314_345182729[[#This Row],[Sal. Dev]]-Tabla5121314_345182729[[#This Row],[Ausencias]]+Tabla5121314_345182729[[#This Row],[pago x vacaciones]]-Tabla5121314_345182729[[#This Row],[importe Seg Social]]-Tabla5121314_345182729[[#This Row],[Imp. Sobr. Ing. Per 3% (3260.00-9510.00)]]</f>
        <v>5096.49</v>
      </c>
    </row>
  </sheetData>
  <mergeCells count="4">
    <mergeCell ref="A1:B1"/>
    <mergeCell ref="A2:B2"/>
    <mergeCell ref="A3:B3"/>
    <mergeCell ref="L5:M5"/>
  </mergeCells>
  <pageMargins left="0.7" right="0.7" top="0.75" bottom="0.75" header="0.3" footer="0.3"/>
  <pageSetup scale="17" orientation="landscape" horizontalDpi="360" verticalDpi="36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A77ED-F190-4B9F-86C4-AA744B60E767}">
  <dimension ref="A1:AH229"/>
  <sheetViews>
    <sheetView showZeros="0" view="pageBreakPreview" topLeftCell="A202" zoomScale="32" zoomScaleNormal="77" zoomScaleSheetLayoutView="32" workbookViewId="0">
      <selection activeCell="L229" sqref="L229"/>
    </sheetView>
  </sheetViews>
  <sheetFormatPr baseColWidth="10" defaultColWidth="8.84375" defaultRowHeight="26.15"/>
  <cols>
    <col min="1" max="1" width="14.4609375" style="140" customWidth="1"/>
    <col min="2" max="2" width="81.765625" style="140" customWidth="1"/>
    <col min="3" max="3" width="71.3828125" style="140" customWidth="1"/>
    <col min="4" max="4" width="30.23046875" style="140" customWidth="1"/>
    <col min="5" max="5" width="38.84375" style="140" customWidth="1"/>
    <col min="6" max="6" width="28.53515625" style="140" customWidth="1"/>
    <col min="7" max="7" width="16.07421875" style="140" customWidth="1"/>
    <col min="8" max="8" width="32.07421875" style="140" customWidth="1"/>
    <col min="9" max="9" width="18.23046875" style="140" customWidth="1"/>
    <col min="10" max="10" width="20.84375" style="140" customWidth="1"/>
    <col min="11" max="11" width="34.23046875" style="140" customWidth="1"/>
    <col min="12" max="12" width="33.921875" style="140" customWidth="1"/>
    <col min="13" max="14" width="35.69140625" style="140" customWidth="1"/>
    <col min="15" max="15" width="30.84375" style="140" customWidth="1"/>
    <col min="16" max="16" width="57.23046875" style="140" customWidth="1"/>
    <col min="17" max="16384" width="8.84375" style="140"/>
  </cols>
  <sheetData>
    <row r="1" spans="1:29" ht="1.5" customHeight="1"/>
    <row r="2" spans="1:29" ht="9" hidden="1" customHeight="1"/>
    <row r="3" spans="1:29" hidden="1"/>
    <row r="4" spans="1:29" ht="37.5" hidden="1" customHeight="1"/>
    <row r="5" spans="1:29" ht="46.3">
      <c r="A5" s="461" t="s">
        <v>0</v>
      </c>
      <c r="B5" s="461"/>
      <c r="C5" s="143"/>
      <c r="D5" s="143"/>
      <c r="I5" s="166" t="s">
        <v>1</v>
      </c>
      <c r="J5" s="166" t="s">
        <v>2</v>
      </c>
      <c r="K5" s="177">
        <f>K24</f>
        <v>45901</v>
      </c>
      <c r="L5" s="178" t="s">
        <v>3</v>
      </c>
      <c r="M5" s="177">
        <f>M24</f>
        <v>45930</v>
      </c>
      <c r="N5" s="141"/>
    </row>
    <row r="6" spans="1:29" ht="28.3">
      <c r="A6" s="462" t="s">
        <v>4</v>
      </c>
      <c r="B6" s="462"/>
      <c r="C6" s="175" t="s">
        <v>223</v>
      </c>
      <c r="I6" s="163"/>
      <c r="J6" s="163"/>
      <c r="K6" s="163"/>
      <c r="L6" s="163"/>
      <c r="M6" s="163"/>
    </row>
    <row r="7" spans="1:29" ht="28.3">
      <c r="A7" s="462" t="s">
        <v>5</v>
      </c>
      <c r="B7" s="462"/>
      <c r="C7" s="176"/>
      <c r="I7" s="163"/>
      <c r="J7" s="163"/>
      <c r="K7" s="163"/>
      <c r="L7" s="163" t="s">
        <v>6</v>
      </c>
      <c r="M7" s="175">
        <v>192</v>
      </c>
    </row>
    <row r="9" spans="1:29" ht="30.9">
      <c r="A9" s="463" t="s">
        <v>7</v>
      </c>
      <c r="B9" s="463"/>
      <c r="C9" s="165" t="s">
        <v>8</v>
      </c>
      <c r="L9" s="458"/>
      <c r="M9" s="458"/>
    </row>
    <row r="10" spans="1:29" s="147" customFormat="1" ht="71.150000000000006" customHeight="1">
      <c r="A10" s="179" t="s">
        <v>10</v>
      </c>
      <c r="B10" s="179" t="s">
        <v>11</v>
      </c>
      <c r="C10" s="179" t="s">
        <v>12</v>
      </c>
      <c r="D10" s="179" t="s">
        <v>198</v>
      </c>
      <c r="E10" s="179" t="s">
        <v>192</v>
      </c>
      <c r="F10" s="179" t="s">
        <v>189</v>
      </c>
      <c r="G10" s="179" t="s">
        <v>14</v>
      </c>
      <c r="H10" s="179" t="s">
        <v>15</v>
      </c>
      <c r="I10" s="179" t="s">
        <v>197</v>
      </c>
      <c r="J10" s="179" t="s">
        <v>9</v>
      </c>
      <c r="K10" s="179" t="s">
        <v>16</v>
      </c>
      <c r="L10" s="179" t="s">
        <v>196</v>
      </c>
      <c r="M10" s="179" t="s">
        <v>194</v>
      </c>
      <c r="N10" s="179" t="s">
        <v>240</v>
      </c>
      <c r="O10" s="179" t="s">
        <v>241</v>
      </c>
      <c r="P10" s="179" t="s">
        <v>191</v>
      </c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6"/>
    </row>
    <row r="11" spans="1:29" s="141" customFormat="1" ht="61.3" customHeight="1">
      <c r="A11" s="211">
        <v>1</v>
      </c>
      <c r="B11" s="225" t="str">
        <f>VLOOKUP(Tabla522130[[#This Row],[No. Exp]],Tabla6[],2)</f>
        <v xml:space="preserve">Michel García Izquierdo </v>
      </c>
      <c r="C11" s="212">
        <f>VLOOKUP(Tabla522130[[#This Row],[No. Exp]],Tabla6[],3)</f>
        <v>87032201867</v>
      </c>
      <c r="D11" s="226">
        <f>M7</f>
        <v>192</v>
      </c>
      <c r="E11" s="226">
        <f>VLOOKUP(Tabla522130[[#This Row],[No. Exp]],Tabla6[],5)</f>
        <v>46.875</v>
      </c>
      <c r="F11" s="207">
        <f>ROUND(Tabla522130[[#This Row],[Horas Trabajadas]]*Tabla522130[[#This Row],[Tarifas por Horas]],0)</f>
        <v>9000</v>
      </c>
      <c r="G11" s="207"/>
      <c r="H11" s="208">
        <f>Tabla522130[[#This Row],[Salario Básico]]+Tabla522130[[#This Row],[Bonif]]</f>
        <v>9000</v>
      </c>
      <c r="I11" s="208"/>
      <c r="J11" s="209"/>
      <c r="K11" s="207">
        <f>Tabla522130[[#This Row],[Sal. Dev]]/24*Tabla522130[[#This Row],[Vacaciones]]</f>
        <v>0</v>
      </c>
      <c r="L11" s="207">
        <f>Tabla522130[[#This Row],[Sal. Dev]]-Tabla522130[[#This Row],[Ausencias]]+Tabla522130[[#This Row],[pago x vacaciones]]</f>
        <v>9000</v>
      </c>
      <c r="M11" s="207">
        <f>5%*Tabla522130[[#This Row],[Salario Neto]]</f>
        <v>450</v>
      </c>
      <c r="N11" s="206">
        <f>(9510-3260)*3%</f>
        <v>187.5</v>
      </c>
      <c r="O11" s="206"/>
      <c r="P11" s="347">
        <f>Tabla522130[[#This Row],[Sal. Dev]]-Tabla522130[[#This Row],[Ausencias]]+Tabla522130[[#This Row],[pago x vacaciones]]-Tabla522130[[#This Row],[importe Seg Social]]-Tabla522130[[#This Row],[Imp. Sobr. Ing. Per 3% (3260.00-9510.00)]]-Tabla522130[[#This Row],[Imp. Sobr. Ing. Per 5% (9510.00-15000.00)]]</f>
        <v>8362.5</v>
      </c>
      <c r="Q11" s="148"/>
    </row>
    <row r="12" spans="1:29" ht="65.150000000000006" customHeight="1">
      <c r="A12" s="211">
        <v>2</v>
      </c>
      <c r="B12" s="205" t="str">
        <f>VLOOKUP(Tabla522130[[#This Row],[No. Exp]],Tabla6[],2)</f>
        <v>Mabel Molina Fajardo</v>
      </c>
      <c r="C12" s="212">
        <f>VLOOKUP(Tabla522130[[#This Row],[No. Exp]],Tabla6[],3)</f>
        <v>84100406736</v>
      </c>
      <c r="D12" s="206">
        <f>D11</f>
        <v>192</v>
      </c>
      <c r="E12" s="206">
        <f>VLOOKUP(Tabla522130[[#This Row],[No. Exp]],Tabla6[],5)</f>
        <v>46.875</v>
      </c>
      <c r="F12" s="207">
        <f>ROUND(Tabla522130[[#This Row],[Horas Trabajadas]]*Tabla522130[[#This Row],[Tarifas por Horas]],0)</f>
        <v>9000</v>
      </c>
      <c r="G12" s="207"/>
      <c r="H12" s="208">
        <f>Tabla522130[[#This Row],[Salario Básico]]+Tabla522130[[#This Row],[Bonif]]</f>
        <v>9000</v>
      </c>
      <c r="I12" s="208">
        <f>E8</f>
        <v>0</v>
      </c>
      <c r="J12" s="209"/>
      <c r="K12" s="207">
        <f>Tabla522130[[#This Row],[Sal. Dev]]/24*Tabla522130[[#This Row],[Vacaciones]]</f>
        <v>0</v>
      </c>
      <c r="L12" s="207">
        <f>Tabla522130[[#This Row],[Sal. Dev]]-Tabla522130[[#This Row],[Ausencias]]+Tabla522130[[#This Row],[pago x vacaciones]]</f>
        <v>9000</v>
      </c>
      <c r="M12" s="207">
        <f>5%*Tabla522130[[#This Row],[Salario Neto]]</f>
        <v>450</v>
      </c>
      <c r="N12" s="206">
        <f t="shared" ref="N12:N16" si="0">(9510-3260)*3%</f>
        <v>187.5</v>
      </c>
      <c r="O12" s="206"/>
      <c r="P12" s="347">
        <f>Tabla522130[[#This Row],[Sal. Dev]]-Tabla522130[[#This Row],[Ausencias]]+Tabla522130[[#This Row],[pago x vacaciones]]-Tabla522130[[#This Row],[importe Seg Social]]-Tabla522130[[#This Row],[Imp. Sobr. Ing. Per 3% (3260.00-9510.00)]]-Tabla522130[[#This Row],[Imp. Sobr. Ing. Per 5% (9510.00-15000.00)]]</f>
        <v>8362.5</v>
      </c>
    </row>
    <row r="13" spans="1:29" ht="69" customHeight="1">
      <c r="A13" s="211">
        <v>3</v>
      </c>
      <c r="B13" s="205" t="str">
        <f>VLOOKUP(Tabla522130[[#This Row],[No. Exp]],Tabla6[],2)</f>
        <v>Yanet González Rodríguez</v>
      </c>
      <c r="C13" s="212">
        <f>VLOOKUP(Tabla522130[[#This Row],[No. Exp]],Tabla6[],3)</f>
        <v>90081132492</v>
      </c>
      <c r="D13" s="206">
        <f t="shared" ref="D13:D16" si="1">D12</f>
        <v>192</v>
      </c>
      <c r="E13" s="206">
        <f>VLOOKUP(Tabla522130[[#This Row],[No. Exp]],Tabla6[],5)</f>
        <v>46.875</v>
      </c>
      <c r="F13" s="207">
        <f>ROUND(Tabla522130[[#This Row],[Horas Trabajadas]]*Tabla522130[[#This Row],[Tarifas por Horas]],0)</f>
        <v>9000</v>
      </c>
      <c r="G13" s="207"/>
      <c r="H13" s="208">
        <f>Tabla522130[[#This Row],[Salario Básico]]+Tabla522130[[#This Row],[Bonif]]</f>
        <v>9000</v>
      </c>
      <c r="I13" s="289">
        <f>E9</f>
        <v>0</v>
      </c>
      <c r="J13" s="209"/>
      <c r="K13" s="207">
        <f>Tabla522130[[#This Row],[Sal. Dev]]/24*Tabla522130[[#This Row],[Vacaciones]]</f>
        <v>0</v>
      </c>
      <c r="L13" s="207">
        <f>Tabla522130[[#This Row],[Sal. Dev]]-Tabla522130[[#This Row],[Ausencias]]+Tabla522130[[#This Row],[pago x vacaciones]]</f>
        <v>9000</v>
      </c>
      <c r="M13" s="207">
        <f>5%*Tabla522130[[#This Row],[Salario Neto]]</f>
        <v>450</v>
      </c>
      <c r="N13" s="206">
        <f t="shared" si="0"/>
        <v>187.5</v>
      </c>
      <c r="O13" s="206"/>
      <c r="P13" s="347">
        <f>Tabla522130[[#This Row],[Sal. Dev]]-Tabla522130[[#This Row],[Ausencias]]+Tabla522130[[#This Row],[pago x vacaciones]]-Tabla522130[[#This Row],[importe Seg Social]]-Tabla522130[[#This Row],[Imp. Sobr. Ing. Per 3% (3260.00-9510.00)]]-Tabla522130[[#This Row],[Imp. Sobr. Ing. Per 5% (9510.00-15000.00)]]</f>
        <v>8362.5</v>
      </c>
    </row>
    <row r="14" spans="1:29" ht="68.150000000000006" customHeight="1">
      <c r="A14" s="211">
        <v>4</v>
      </c>
      <c r="B14" s="205" t="str">
        <f>VLOOKUP(Tabla522130[[#This Row],[No. Exp]],Tabla6[],2)</f>
        <v>Patricia San Gabino Delgado</v>
      </c>
      <c r="C14" s="212">
        <f>VLOOKUP(Tabla522130[[#This Row],[No. Exp]],Tabla6[],3)</f>
        <v>90022032253</v>
      </c>
      <c r="D14" s="206">
        <f t="shared" si="1"/>
        <v>192</v>
      </c>
      <c r="E14" s="206">
        <f>VLOOKUP(Tabla522130[[#This Row],[No. Exp]],Tabla6[],5)</f>
        <v>46.875</v>
      </c>
      <c r="F14" s="207">
        <f>ROUND(Tabla522130[[#This Row],[Horas Trabajadas]]*Tabla522130[[#This Row],[Tarifas por Horas]],0)</f>
        <v>9000</v>
      </c>
      <c r="G14" s="207"/>
      <c r="H14" s="208">
        <f>Tabla522130[[#This Row],[Salario Básico]]+Tabla522130[[#This Row],[Bonif]]</f>
        <v>9000</v>
      </c>
      <c r="I14" s="289"/>
      <c r="J14" s="209"/>
      <c r="K14" s="207">
        <f>Tabla522130[[#This Row],[Sal. Dev]]/24*Tabla522130[[#This Row],[Vacaciones]]</f>
        <v>0</v>
      </c>
      <c r="L14" s="207">
        <f>Tabla522130[[#This Row],[Sal. Dev]]-Tabla522130[[#This Row],[Ausencias]]+Tabla522130[[#This Row],[pago x vacaciones]]</f>
        <v>9000</v>
      </c>
      <c r="M14" s="207">
        <f>5%*Tabla522130[[#This Row],[Salario Neto]]</f>
        <v>450</v>
      </c>
      <c r="N14" s="206">
        <f t="shared" si="0"/>
        <v>187.5</v>
      </c>
      <c r="O14" s="206"/>
      <c r="P14" s="347">
        <f>Tabla522130[[#This Row],[Sal. Dev]]-Tabla522130[[#This Row],[Ausencias]]+Tabla522130[[#This Row],[pago x vacaciones]]-Tabla522130[[#This Row],[importe Seg Social]]-Tabla522130[[#This Row],[Imp. Sobr. Ing. Per 3% (3260.00-9510.00)]]-Tabla522130[[#This Row],[Imp. Sobr. Ing. Per 5% (9510.00-15000.00)]]</f>
        <v>8362.5</v>
      </c>
    </row>
    <row r="15" spans="1:29" ht="85.75" customHeight="1">
      <c r="A15" s="211">
        <v>6</v>
      </c>
      <c r="B15" s="205" t="str">
        <f>VLOOKUP(Tabla522130[[#This Row],[No. Exp]],Tabla6[],2)</f>
        <v>Amanda Miguel Marcano Bahler</v>
      </c>
      <c r="C15" s="212" t="str">
        <f>VLOOKUP(Tabla522130[[#This Row],[No. Exp]],Tabla6[],3)</f>
        <v>00122868475</v>
      </c>
      <c r="D15" s="206">
        <f t="shared" si="1"/>
        <v>192</v>
      </c>
      <c r="E15" s="206">
        <f>VLOOKUP(Tabla522130[[#This Row],[No. Exp]],Tabla6[],5)</f>
        <v>46.875</v>
      </c>
      <c r="F15" s="207">
        <f>ROUND(Tabla522130[[#This Row],[Horas Trabajadas]]*Tabla522130[[#This Row],[Tarifas por Horas]],0)</f>
        <v>9000</v>
      </c>
      <c r="G15" s="207"/>
      <c r="H15" s="208">
        <f>Tabla522130[[#This Row],[Salario Básico]]+Tabla522130[[#This Row],[Bonif]]</f>
        <v>9000</v>
      </c>
      <c r="I15" s="289"/>
      <c r="J15" s="209"/>
      <c r="K15" s="207">
        <f>Tabla522130[[#This Row],[Sal. Dev]]/24*Tabla522130[[#This Row],[Vacaciones]]</f>
        <v>0</v>
      </c>
      <c r="L15" s="207">
        <f>Tabla522130[[#This Row],[Sal. Dev]]-Tabla522130[[#This Row],[Ausencias]]+Tabla522130[[#This Row],[pago x vacaciones]]</f>
        <v>9000</v>
      </c>
      <c r="M15" s="207">
        <f>5%*Tabla522130[[#This Row],[Salario Neto]]</f>
        <v>450</v>
      </c>
      <c r="N15" s="206">
        <f t="shared" si="0"/>
        <v>187.5</v>
      </c>
      <c r="O15" s="206"/>
      <c r="P15" s="347">
        <f>Tabla522130[[#This Row],[Sal. Dev]]-Tabla522130[[#This Row],[Ausencias]]+Tabla522130[[#This Row],[pago x vacaciones]]-Tabla522130[[#This Row],[importe Seg Social]]-Tabla522130[[#This Row],[Imp. Sobr. Ing. Per 3% (3260.00-9510.00)]]-Tabla522130[[#This Row],[Imp. Sobr. Ing. Per 5% (9510.00-15000.00)]]</f>
        <v>8362.5</v>
      </c>
    </row>
    <row r="16" spans="1:29" ht="85.3" customHeight="1">
      <c r="A16" s="211">
        <v>8</v>
      </c>
      <c r="B16" s="205" t="str">
        <f>VLOOKUP(Tabla522130[[#This Row],[No. Exp]],Tabla6[],2)</f>
        <v>Carlos Alberto García Lorente</v>
      </c>
      <c r="C16" s="212">
        <f>VLOOKUP(Tabla522130[[#This Row],[No. Exp]],Tabla6[],3)</f>
        <v>63091617120</v>
      </c>
      <c r="D16" s="206">
        <f t="shared" si="1"/>
        <v>192</v>
      </c>
      <c r="E16" s="206">
        <f>VLOOKUP(Tabla522130[[#This Row],[No. Exp]],Tabla6[],5)</f>
        <v>46.875</v>
      </c>
      <c r="F16" s="207">
        <f>ROUND(Tabla522130[[#This Row],[Horas Trabajadas]]*Tabla522130[[#This Row],[Tarifas por Horas]],0)</f>
        <v>9000</v>
      </c>
      <c r="G16" s="207"/>
      <c r="H16" s="208">
        <f>Tabla522130[[#This Row],[Salario Básico]]+Tabla522130[[#This Row],[Bonif]]</f>
        <v>9000</v>
      </c>
      <c r="I16" s="289"/>
      <c r="J16" s="209"/>
      <c r="K16" s="207">
        <f>Tabla522130[[#This Row],[Sal. Dev]]/24*Tabla522130[[#This Row],[Vacaciones]]</f>
        <v>0</v>
      </c>
      <c r="L16" s="207">
        <f>Tabla522130[[#This Row],[Sal. Dev]]-Tabla522130[[#This Row],[Ausencias]]+Tabla522130[[#This Row],[pago x vacaciones]]</f>
        <v>9000</v>
      </c>
      <c r="M16" s="207">
        <f>5%*Tabla522130[[#This Row],[Salario Neto]]</f>
        <v>450</v>
      </c>
      <c r="N16" s="206">
        <f t="shared" si="0"/>
        <v>187.5</v>
      </c>
      <c r="O16" s="206"/>
      <c r="P16" s="347">
        <f>Tabla522130[[#This Row],[Sal. Dev]]-Tabla522130[[#This Row],[Ausencias]]+Tabla522130[[#This Row],[pago x vacaciones]]-Tabla522130[[#This Row],[importe Seg Social]]-Tabla522130[[#This Row],[Imp. Sobr. Ing. Per 3% (3260.00-9510.00)]]-Tabla522130[[#This Row],[Imp. Sobr. Ing. Per 5% (9510.00-15000.00)]]</f>
        <v>8362.5</v>
      </c>
    </row>
    <row r="17" spans="1:34" ht="37.75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22" spans="1:34" ht="33.450000000000003">
      <c r="B22" s="164" t="s">
        <v>242</v>
      </c>
    </row>
    <row r="24" spans="1:34" ht="45.45">
      <c r="A24" s="459" t="s">
        <v>0</v>
      </c>
      <c r="B24" s="459"/>
      <c r="C24" s="180"/>
      <c r="D24" s="180"/>
      <c r="E24" s="174"/>
      <c r="F24" s="174"/>
      <c r="G24" s="174"/>
      <c r="H24" s="174"/>
      <c r="I24" s="181" t="s">
        <v>1</v>
      </c>
      <c r="J24" s="181" t="s">
        <v>2</v>
      </c>
      <c r="K24" s="182">
        <v>45901</v>
      </c>
      <c r="L24" s="183" t="s">
        <v>3</v>
      </c>
      <c r="M24" s="182">
        <v>45930</v>
      </c>
      <c r="N24" s="181"/>
      <c r="O24" s="174"/>
      <c r="P24" s="174"/>
      <c r="Q24" s="174"/>
    </row>
    <row r="25" spans="1:34">
      <c r="A25" s="460" t="s">
        <v>4</v>
      </c>
      <c r="B25" s="460"/>
      <c r="C25" s="184" t="str">
        <f>C6</f>
        <v>Amanda Marcano Bahler</v>
      </c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</row>
    <row r="26" spans="1:34">
      <c r="A26" s="460" t="s">
        <v>5</v>
      </c>
      <c r="B26" s="460"/>
      <c r="C26" s="185"/>
      <c r="D26" s="174"/>
      <c r="E26" s="174"/>
      <c r="F26" s="174"/>
      <c r="G26" s="174"/>
      <c r="H26" s="174"/>
      <c r="I26" s="174"/>
      <c r="J26" s="174"/>
      <c r="K26" s="174"/>
      <c r="L26" s="174" t="str">
        <f>L7</f>
        <v>Horas:</v>
      </c>
      <c r="M26" s="184">
        <f>M7</f>
        <v>192</v>
      </c>
      <c r="N26" s="174"/>
      <c r="O26" s="174"/>
      <c r="P26" s="174"/>
      <c r="Q26" s="174"/>
    </row>
    <row r="27" spans="1:34" ht="30">
      <c r="A27" s="464" t="s">
        <v>7</v>
      </c>
      <c r="B27" s="464"/>
      <c r="C27" s="187" t="s">
        <v>17</v>
      </c>
      <c r="D27" s="174"/>
      <c r="E27" s="174"/>
      <c r="F27" s="174"/>
      <c r="G27" s="174"/>
      <c r="H27" s="174"/>
      <c r="I27" s="174"/>
      <c r="J27" s="174"/>
      <c r="K27" s="174"/>
      <c r="L27" s="460" t="s">
        <v>9</v>
      </c>
      <c r="M27" s="460"/>
      <c r="N27" s="174"/>
      <c r="O27" s="174"/>
      <c r="P27" s="174"/>
      <c r="Q27" s="174"/>
    </row>
    <row r="28" spans="1:34" s="152" customFormat="1" ht="69" customHeight="1">
      <c r="A28" s="170" t="s">
        <v>10</v>
      </c>
      <c r="B28" s="171" t="s">
        <v>11</v>
      </c>
      <c r="C28" s="171" t="s">
        <v>12</v>
      </c>
      <c r="D28" s="171" t="s">
        <v>198</v>
      </c>
      <c r="E28" s="171" t="s">
        <v>193</v>
      </c>
      <c r="F28" s="171" t="s">
        <v>189</v>
      </c>
      <c r="G28" s="171" t="s">
        <v>14</v>
      </c>
      <c r="H28" s="172" t="s">
        <v>15</v>
      </c>
      <c r="I28" s="171" t="s">
        <v>197</v>
      </c>
      <c r="J28" s="171" t="s">
        <v>9</v>
      </c>
      <c r="K28" s="171" t="s">
        <v>18</v>
      </c>
      <c r="L28" s="171" t="s">
        <v>196</v>
      </c>
      <c r="M28" s="171" t="s">
        <v>194</v>
      </c>
      <c r="N28" s="171" t="s">
        <v>240</v>
      </c>
      <c r="O28" s="171" t="s">
        <v>241</v>
      </c>
      <c r="P28" s="173" t="s">
        <v>191</v>
      </c>
      <c r="Q28" s="174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61"/>
    </row>
    <row r="29" spans="1:34" ht="58.75" customHeight="1">
      <c r="A29" s="200">
        <v>5</v>
      </c>
      <c r="B29" s="201" t="str">
        <f>VLOOKUP(Tabla512102231[[#This Row],[No. Exp]],Tabla6[],2)</f>
        <v>Roberto Palacios Díaz</v>
      </c>
      <c r="C29" s="203" t="str">
        <f>VLOOKUP(Tabla512102231[[#This Row],[No. Exp]],Tabla6[],3)</f>
        <v>89092321528</v>
      </c>
      <c r="D29" s="240">
        <v>192</v>
      </c>
      <c r="E29" s="240">
        <f>VLOOKUP(Tabla512102231[[#This Row],[No. Exp]],Tabla6[],5)</f>
        <v>41.665999999999997</v>
      </c>
      <c r="F29" s="240">
        <f>ROUND(Tabla512102231[[#This Row],[Horas Trabajadas]]*Tabla512102231[[#This Row],[Tarifas x horas ]],0)</f>
        <v>8000</v>
      </c>
      <c r="G29" s="241"/>
      <c r="H29" s="247">
        <f>Tabla512102231[[#This Row],[Salario Básico]]+Tabla512102231[[#This Row],[Bonif]]</f>
        <v>8000</v>
      </c>
      <c r="I29" s="241"/>
      <c r="J29" s="241"/>
      <c r="K29" s="241">
        <f>Tabla512102231[[#This Row],[Sal. Dev]]/24*Tabla512102231[[#This Row],[Vacaciones]]</f>
        <v>0</v>
      </c>
      <c r="L29" s="245">
        <f>Tabla512102231[[#This Row],[Sal. Dev]]-Tabla512102231[[#This Row],[Ausencias]]+Tabla512102231[[#This Row],[pago x Vacaciones]]</f>
        <v>8000</v>
      </c>
      <c r="M29" s="249">
        <f>5%*Tabla512102231[[#This Row],[Salario Neto]]</f>
        <v>400</v>
      </c>
      <c r="N29" s="240">
        <f>(9510-3260)*3%</f>
        <v>187.5</v>
      </c>
      <c r="O29" s="240"/>
      <c r="P29" s="245">
        <f>Tabla512102231[[#This Row],[Sal. Dev]]-Tabla512102231[[#This Row],[Ausencias]]+Tabla512102231[[#This Row],[pago x Vacaciones]]-Tabla512102231[[#This Row],[importe Seg Social]]-Tabla512102231[[#This Row],[Imp. Sobr. Ing. Per 3% (3260.00-9510.00)]]</f>
        <v>7412.5</v>
      </c>
      <c r="Q29" s="174"/>
    </row>
    <row r="30" spans="1:34" ht="63" customHeight="1">
      <c r="A30" s="202">
        <v>9</v>
      </c>
      <c r="B30" s="201" t="str">
        <f>VLOOKUP(Tabla512102231[[#This Row],[No. Exp]],Tabla6[],2)</f>
        <v>Leonardo Goberna Sánchez</v>
      </c>
      <c r="C30" s="203" t="str">
        <f>VLOOKUP(Tabla512102231[[#This Row],[No. Exp]],Tabla6[],3)</f>
        <v>97042008188</v>
      </c>
      <c r="D30" s="240">
        <v>192</v>
      </c>
      <c r="E30" s="240">
        <f>VLOOKUP(Tabla512102231[[#This Row],[No. Exp]],Tabla6[],5)</f>
        <v>40.625</v>
      </c>
      <c r="F30" s="240">
        <f>ROUND(Tabla512102231[[#This Row],[Horas Trabajadas]]*Tabla512102231[[#This Row],[Tarifas x horas ]],0)</f>
        <v>7800</v>
      </c>
      <c r="G30" s="241"/>
      <c r="H30" s="247">
        <f>Tabla512102231[[#This Row],[Salario Básico]]+Tabla512102231[[#This Row],[Bonif]]</f>
        <v>7800</v>
      </c>
      <c r="I30" s="242"/>
      <c r="J30" s="246"/>
      <c r="K30" s="241">
        <f>Tabla512102231[[#This Row],[Sal. Dev]]/24*Tabla512102231[[#This Row],[Vacaciones]]</f>
        <v>0</v>
      </c>
      <c r="L30" s="247">
        <f>Tabla512102231[[#This Row],[Sal. Dev]]-Tabla512102231[[#This Row],[Ausencias]]+Tabla512102231[[#This Row],[pago x Vacaciones]]</f>
        <v>7800</v>
      </c>
      <c r="M30" s="240">
        <f>5%*Tabla512102231[[#This Row],[Salario Neto]]</f>
        <v>390</v>
      </c>
      <c r="N30" s="240">
        <f t="shared" ref="N30:N53" si="2">(9510-3260)*3%</f>
        <v>187.5</v>
      </c>
      <c r="O30" s="240"/>
      <c r="P30" s="247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30" s="174"/>
    </row>
    <row r="31" spans="1:34" ht="60.45" customHeight="1">
      <c r="A31" s="202">
        <v>10</v>
      </c>
      <c r="B31" s="201" t="str">
        <f>VLOOKUP(Tabla512102231[[#This Row],[No. Exp]],Tabla6[],2)</f>
        <v>Liván León López</v>
      </c>
      <c r="C31" s="203">
        <f>VLOOKUP(Tabla512102231[[#This Row],[No. Exp]],Tabla6[],3)</f>
        <v>98090107024</v>
      </c>
      <c r="D31" s="240">
        <f>D30</f>
        <v>192</v>
      </c>
      <c r="E31" s="240">
        <f>VLOOKUP(Tabla512102231[[#This Row],[No. Exp]],Tabla6[],5)</f>
        <v>40.625</v>
      </c>
      <c r="F31" s="240">
        <f>ROUND(Tabla512102231[[#This Row],[Horas Trabajadas]]*Tabla512102231[[#This Row],[Tarifas x horas ]],0)</f>
        <v>7800</v>
      </c>
      <c r="G31" s="241"/>
      <c r="H31" s="247">
        <f>Tabla512102231[[#This Row],[Salario Básico]]+Tabla512102231[[#This Row],[Bonif]]</f>
        <v>7800</v>
      </c>
      <c r="I31" s="244"/>
      <c r="J31" s="246"/>
      <c r="K31" s="241">
        <f>Tabla512102231[[#This Row],[Sal. Dev]]/24*Tabla512102231[[#This Row],[Vacaciones]]</f>
        <v>0</v>
      </c>
      <c r="L31" s="247">
        <f>Tabla512102231[[#This Row],[Sal. Dev]]-Tabla512102231[[#This Row],[Ausencias]]+Tabla512102231[[#This Row],[pago x Vacaciones]]</f>
        <v>7800</v>
      </c>
      <c r="M31" s="240">
        <f>5%*Tabla512102231[[#This Row],[Salario Neto]]</f>
        <v>390</v>
      </c>
      <c r="N31" s="240">
        <f t="shared" si="2"/>
        <v>187.5</v>
      </c>
      <c r="O31" s="240"/>
      <c r="P31" s="247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31" s="174"/>
    </row>
    <row r="32" spans="1:34" ht="65.150000000000006" customHeight="1">
      <c r="A32" s="202">
        <v>11</v>
      </c>
      <c r="B32" s="201" t="str">
        <f>VLOOKUP(Tabla512102231[[#This Row],[No. Exp]],Tabla6[],2)</f>
        <v>Norge Araújo Ortega</v>
      </c>
      <c r="C32" s="203">
        <f>VLOOKUP(Tabla512102231[[#This Row],[No. Exp]],Tabla6[],3)</f>
        <v>87121431060</v>
      </c>
      <c r="D32" s="240">
        <f t="shared" ref="D32:D41" si="3">D30</f>
        <v>192</v>
      </c>
      <c r="E32" s="240">
        <f>VLOOKUP(Tabla512102231[[#This Row],[No. Exp]],Tabla6[],5)</f>
        <v>40.625</v>
      </c>
      <c r="F32" s="240">
        <f>ROUND(Tabla512102231[[#This Row],[Horas Trabajadas]]*Tabla512102231[[#This Row],[Tarifas x horas ]],0)</f>
        <v>7800</v>
      </c>
      <c r="G32" s="241"/>
      <c r="H32" s="247">
        <f>Tabla512102231[[#This Row],[Salario Básico]]+Tabla512102231[[#This Row],[Bonif]]</f>
        <v>7800</v>
      </c>
      <c r="I32" s="244"/>
      <c r="J32" s="246"/>
      <c r="K32" s="241">
        <f>Tabla512102231[[#This Row],[Sal. Dev]]/24*Tabla512102231[[#This Row],[Vacaciones]]</f>
        <v>0</v>
      </c>
      <c r="L32" s="247">
        <f>Tabla512102231[[#This Row],[Sal. Dev]]-Tabla512102231[[#This Row],[Ausencias]]+Tabla512102231[[#This Row],[pago x Vacaciones]]</f>
        <v>7800</v>
      </c>
      <c r="M32" s="240">
        <f>5%*Tabla512102231[[#This Row],[Salario Neto]]</f>
        <v>390</v>
      </c>
      <c r="N32" s="240">
        <f t="shared" si="2"/>
        <v>187.5</v>
      </c>
      <c r="O32" s="240"/>
      <c r="P32" s="247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32" s="174"/>
    </row>
    <row r="33" spans="1:17" ht="72" customHeight="1">
      <c r="A33" s="202">
        <v>12</v>
      </c>
      <c r="B33" s="201" t="str">
        <f>VLOOKUP(Tabla512102231[[#This Row],[No. Exp]],Tabla6[],2)</f>
        <v>Humberto Eugenio Blanco Hernanadez</v>
      </c>
      <c r="C33" s="203">
        <f>VLOOKUP(Tabla512102231[[#This Row],[No. Exp]],Tabla6[],3)</f>
        <v>96042423224</v>
      </c>
      <c r="D33" s="240">
        <f t="shared" si="3"/>
        <v>192</v>
      </c>
      <c r="E33" s="240">
        <f>VLOOKUP(Tabla512102231[[#This Row],[No. Exp]],Tabla6[],5)</f>
        <v>40.625</v>
      </c>
      <c r="F33" s="240">
        <f>ROUND(Tabla512102231[[#This Row],[Horas Trabajadas]]*Tabla512102231[[#This Row],[Tarifas x horas ]],0)</f>
        <v>7800</v>
      </c>
      <c r="G33" s="241"/>
      <c r="H33" s="247">
        <f>Tabla512102231[[#This Row],[Salario Básico]]+Tabla512102231[[#This Row],[Bonif]]</f>
        <v>7800</v>
      </c>
      <c r="I33" s="244"/>
      <c r="J33" s="246"/>
      <c r="K33" s="241">
        <f>Tabla512102231[[#This Row],[Sal. Dev]]/24*Tabla512102231[[#This Row],[Vacaciones]]</f>
        <v>0</v>
      </c>
      <c r="L33" s="247">
        <f>Tabla512102231[[#This Row],[Sal. Dev]]-Tabla512102231[[#This Row],[Ausencias]]+Tabla512102231[[#This Row],[pago x Vacaciones]]</f>
        <v>7800</v>
      </c>
      <c r="M33" s="240">
        <f>5%*Tabla512102231[[#This Row],[Salario Neto]]</f>
        <v>390</v>
      </c>
      <c r="N33" s="240">
        <f t="shared" si="2"/>
        <v>187.5</v>
      </c>
      <c r="O33" s="240"/>
      <c r="P33" s="247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33" s="174"/>
    </row>
    <row r="34" spans="1:17" ht="68.599999999999994" customHeight="1">
      <c r="A34" s="202">
        <v>13</v>
      </c>
      <c r="B34" s="201" t="str">
        <f>VLOOKUP(Tabla512102231[[#This Row],[No. Exp]],Tabla6[],2)</f>
        <v>Samuel Elías Galán Zaldívar</v>
      </c>
      <c r="C34" s="203">
        <f>VLOOKUP(Tabla512102231[[#This Row],[No. Exp]],Tabla6[],3)</f>
        <v>99061719940</v>
      </c>
      <c r="D34" s="240">
        <f t="shared" si="3"/>
        <v>192</v>
      </c>
      <c r="E34" s="240">
        <f>VLOOKUP(Tabla512102231[[#This Row],[No. Exp]],Tabla6[],5)</f>
        <v>40.625</v>
      </c>
      <c r="F34" s="240">
        <f>ROUND(Tabla512102231[[#This Row],[Horas Trabajadas]]*Tabla512102231[[#This Row],[Tarifas x horas ]],0)</f>
        <v>7800</v>
      </c>
      <c r="G34" s="241"/>
      <c r="H34" s="247">
        <f>Tabla512102231[[#This Row],[Salario Básico]]+Tabla512102231[[#This Row],[Bonif]]</f>
        <v>7800</v>
      </c>
      <c r="I34" s="244"/>
      <c r="J34" s="246"/>
      <c r="K34" s="241">
        <f>Tabla512102231[[#This Row],[Sal. Dev]]/24*Tabla512102231[[#This Row],[Vacaciones]]</f>
        <v>0</v>
      </c>
      <c r="L34" s="247">
        <f>Tabla512102231[[#This Row],[Sal. Dev]]-Tabla512102231[[#This Row],[Ausencias]]+Tabla512102231[[#This Row],[pago x Vacaciones]]</f>
        <v>7800</v>
      </c>
      <c r="M34" s="240">
        <f>5%*Tabla512102231[[#This Row],[Salario Neto]]</f>
        <v>390</v>
      </c>
      <c r="N34" s="240">
        <f t="shared" si="2"/>
        <v>187.5</v>
      </c>
      <c r="O34" s="240"/>
      <c r="P34" s="247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34" s="174"/>
    </row>
    <row r="35" spans="1:17" ht="67.75" customHeight="1">
      <c r="A35" s="202">
        <v>14</v>
      </c>
      <c r="B35" s="201" t="str">
        <f>VLOOKUP(Tabla512102231[[#This Row],[No. Exp]],Tabla6[],2)</f>
        <v>Jesús Pérez Fagundo</v>
      </c>
      <c r="C35" s="203">
        <f>VLOOKUP(Tabla512102231[[#This Row],[No. Exp]],Tabla6[],3)</f>
        <v>88062613221</v>
      </c>
      <c r="D35" s="240">
        <f t="shared" si="3"/>
        <v>192</v>
      </c>
      <c r="E35" s="240">
        <f>VLOOKUP(Tabla512102231[[#This Row],[No. Exp]],Tabla6[],5)</f>
        <v>40.625</v>
      </c>
      <c r="F35" s="240">
        <f>ROUND(Tabla512102231[[#This Row],[Horas Trabajadas]]*Tabla512102231[[#This Row],[Tarifas x horas ]],0)</f>
        <v>7800</v>
      </c>
      <c r="G35" s="241"/>
      <c r="H35" s="247">
        <f>Tabla512102231[[#This Row],[Salario Básico]]+Tabla512102231[[#This Row],[Bonif]]</f>
        <v>7800</v>
      </c>
      <c r="I35" s="244"/>
      <c r="J35" s="246"/>
      <c r="K35" s="241">
        <f>Tabla512102231[[#This Row],[Sal. Dev]]/24*Tabla512102231[[#This Row],[Vacaciones]]</f>
        <v>0</v>
      </c>
      <c r="L35" s="247">
        <f>Tabla512102231[[#This Row],[Sal. Dev]]-Tabla512102231[[#This Row],[Ausencias]]+Tabla512102231[[#This Row],[pago x Vacaciones]]</f>
        <v>7800</v>
      </c>
      <c r="M35" s="240">
        <f>5%*Tabla512102231[[#This Row],[Salario Neto]]</f>
        <v>390</v>
      </c>
      <c r="N35" s="240">
        <f t="shared" si="2"/>
        <v>187.5</v>
      </c>
      <c r="O35" s="240"/>
      <c r="P35" s="247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35" s="174"/>
    </row>
    <row r="36" spans="1:17" ht="54.45" customHeight="1">
      <c r="A36" s="202">
        <v>15</v>
      </c>
      <c r="B36" s="201" t="str">
        <f>VLOOKUP(Tabla512102231[[#This Row],[No. Exp]],Tabla6[],2)</f>
        <v>Alexei  Llanes Gonzalez</v>
      </c>
      <c r="C36" s="203">
        <f>VLOOKUP(Tabla512102231[[#This Row],[No. Exp]],Tabla6[],3)</f>
        <v>97012308566</v>
      </c>
      <c r="D36" s="240">
        <f t="shared" si="3"/>
        <v>192</v>
      </c>
      <c r="E36" s="240">
        <f>VLOOKUP(Tabla512102231[[#This Row],[No. Exp]],Tabla6[],5)</f>
        <v>40.625</v>
      </c>
      <c r="F36" s="240">
        <f>ROUND(Tabla512102231[[#This Row],[Horas Trabajadas]]*Tabla512102231[[#This Row],[Tarifas x horas ]],0)</f>
        <v>7800</v>
      </c>
      <c r="G36" s="241"/>
      <c r="H36" s="247">
        <f>Tabla512102231[[#This Row],[Salario Básico]]+Tabla512102231[[#This Row],[Bonif]]</f>
        <v>7800</v>
      </c>
      <c r="I36" s="244"/>
      <c r="J36" s="246"/>
      <c r="K36" s="241">
        <f>Tabla512102231[[#This Row],[Sal. Dev]]/24*Tabla512102231[[#This Row],[Vacaciones]]</f>
        <v>0</v>
      </c>
      <c r="L36" s="247">
        <f>Tabla512102231[[#This Row],[Sal. Dev]]-Tabla512102231[[#This Row],[Ausencias]]+Tabla512102231[[#This Row],[pago x Vacaciones]]</f>
        <v>7800</v>
      </c>
      <c r="M36" s="240">
        <f>5%*Tabla512102231[[#This Row],[Salario Neto]]</f>
        <v>390</v>
      </c>
      <c r="N36" s="240">
        <f t="shared" si="2"/>
        <v>187.5</v>
      </c>
      <c r="O36" s="240"/>
      <c r="P36" s="247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36" s="174"/>
    </row>
    <row r="37" spans="1:17" ht="64.3" customHeight="1">
      <c r="A37" s="202">
        <v>16</v>
      </c>
      <c r="B37" s="201" t="str">
        <f>VLOOKUP(Tabla512102231[[#This Row],[No. Exp]],Tabla6[],2)</f>
        <v>Cristian Corrales Rosario</v>
      </c>
      <c r="C37" s="203">
        <f>VLOOKUP(Tabla512102231[[#This Row],[No. Exp]],Tabla6[],3)</f>
        <v>96091007562</v>
      </c>
      <c r="D37" s="240">
        <f t="shared" si="3"/>
        <v>192</v>
      </c>
      <c r="E37" s="240">
        <f>VLOOKUP(Tabla512102231[[#This Row],[No. Exp]],Tabla6[],5)</f>
        <v>40.625</v>
      </c>
      <c r="F37" s="240">
        <f>ROUND(Tabla512102231[[#This Row],[Horas Trabajadas]]*Tabla512102231[[#This Row],[Tarifas x horas ]],0)</f>
        <v>7800</v>
      </c>
      <c r="G37" s="241"/>
      <c r="H37" s="247">
        <f>Tabla512102231[[#This Row],[Salario Básico]]+Tabla512102231[[#This Row],[Bonif]]</f>
        <v>7800</v>
      </c>
      <c r="I37" s="244"/>
      <c r="J37" s="246"/>
      <c r="K37" s="241">
        <f>Tabla512102231[[#This Row],[Sal. Dev]]/24*Tabla512102231[[#This Row],[Vacaciones]]</f>
        <v>0</v>
      </c>
      <c r="L37" s="247">
        <f>Tabla512102231[[#This Row],[Sal. Dev]]-Tabla512102231[[#This Row],[Ausencias]]+Tabla512102231[[#This Row],[pago x Vacaciones]]</f>
        <v>7800</v>
      </c>
      <c r="M37" s="240">
        <f>5%*Tabla512102231[[#This Row],[Salario Neto]]</f>
        <v>390</v>
      </c>
      <c r="N37" s="240">
        <f t="shared" si="2"/>
        <v>187.5</v>
      </c>
      <c r="O37" s="240"/>
      <c r="P37" s="247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37" s="174"/>
    </row>
    <row r="38" spans="1:17" ht="42.45" customHeight="1">
      <c r="A38" s="202">
        <v>17</v>
      </c>
      <c r="B38" s="201" t="str">
        <f>VLOOKUP(Tabla512102231[[#This Row],[No. Exp]],Tabla6[],2)</f>
        <v>Rudens  Roberto Borbolla</v>
      </c>
      <c r="C38" s="203">
        <f>VLOOKUP(Tabla512102231[[#This Row],[No. Exp]],Tabla6[],3)</f>
        <v>93050161098</v>
      </c>
      <c r="D38" s="240">
        <f t="shared" si="3"/>
        <v>192</v>
      </c>
      <c r="E38" s="240">
        <f>VLOOKUP(Tabla512102231[[#This Row],[No. Exp]],Tabla6[],5)</f>
        <v>40.625</v>
      </c>
      <c r="F38" s="240">
        <f>ROUND(Tabla512102231[[#This Row],[Horas Trabajadas]]*Tabla512102231[[#This Row],[Tarifas x horas ]],0)</f>
        <v>7800</v>
      </c>
      <c r="G38" s="241"/>
      <c r="H38" s="247">
        <f>Tabla512102231[[#This Row],[Salario Básico]]+Tabla512102231[[#This Row],[Bonif]]</f>
        <v>7800</v>
      </c>
      <c r="I38" s="244"/>
      <c r="J38" s="246"/>
      <c r="K38" s="241">
        <f>Tabla512102231[[#This Row],[Sal. Dev]]/24*Tabla512102231[[#This Row],[Vacaciones]]</f>
        <v>0</v>
      </c>
      <c r="L38" s="247">
        <f>Tabla512102231[[#This Row],[Sal. Dev]]-Tabla512102231[[#This Row],[Ausencias]]+Tabla512102231[[#This Row],[pago x Vacaciones]]</f>
        <v>7800</v>
      </c>
      <c r="M38" s="240">
        <f>5%*Tabla512102231[[#This Row],[Salario Neto]]</f>
        <v>390</v>
      </c>
      <c r="N38" s="240">
        <f t="shared" si="2"/>
        <v>187.5</v>
      </c>
      <c r="O38" s="240"/>
      <c r="P38" s="247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38" s="174"/>
    </row>
    <row r="39" spans="1:17" ht="59.15" customHeight="1">
      <c r="A39" s="202">
        <v>18</v>
      </c>
      <c r="B39" s="201" t="str">
        <f>VLOOKUP(Tabla512102231[[#This Row],[No. Exp]],Tabla6[],2)</f>
        <v>Roliel Rodríguez García</v>
      </c>
      <c r="C39" s="203">
        <f>VLOOKUP(Tabla512102231[[#This Row],[No. Exp]],Tabla6[],3)</f>
        <v>91122226789</v>
      </c>
      <c r="D39" s="240">
        <f t="shared" si="3"/>
        <v>192</v>
      </c>
      <c r="E39" s="240">
        <f>VLOOKUP(Tabla512102231[[#This Row],[No. Exp]],Tabla6[],5)</f>
        <v>40.625</v>
      </c>
      <c r="F39" s="240">
        <f>ROUND(Tabla512102231[[#This Row],[Horas Trabajadas]]*Tabla512102231[[#This Row],[Tarifas x horas ]],0)</f>
        <v>7800</v>
      </c>
      <c r="G39" s="241"/>
      <c r="H39" s="247">
        <f>Tabla512102231[[#This Row],[Salario Básico]]+Tabla512102231[[#This Row],[Bonif]]</f>
        <v>7800</v>
      </c>
      <c r="I39" s="244"/>
      <c r="J39" s="246"/>
      <c r="K39" s="241">
        <f>Tabla512102231[[#This Row],[Sal. Dev]]/24*Tabla512102231[[#This Row],[Vacaciones]]</f>
        <v>0</v>
      </c>
      <c r="L39" s="247">
        <f>Tabla512102231[[#This Row],[Sal. Dev]]-Tabla512102231[[#This Row],[Ausencias]]+Tabla512102231[[#This Row],[pago x Vacaciones]]</f>
        <v>7800</v>
      </c>
      <c r="M39" s="240">
        <f>5%*Tabla512102231[[#This Row],[Salario Neto]]</f>
        <v>390</v>
      </c>
      <c r="N39" s="240">
        <f t="shared" si="2"/>
        <v>187.5</v>
      </c>
      <c r="O39" s="240"/>
      <c r="P39" s="247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39" s="174"/>
    </row>
    <row r="40" spans="1:17" ht="66.900000000000006" customHeight="1">
      <c r="A40" s="202">
        <v>19</v>
      </c>
      <c r="B40" s="201" t="str">
        <f>VLOOKUP(Tabla512102231[[#This Row],[No. Exp]],Tabla6[],2)</f>
        <v>Osmandy del Valle Milanés</v>
      </c>
      <c r="C40" s="203">
        <f>VLOOKUP(Tabla512102231[[#This Row],[No. Exp]],Tabla6[],3)</f>
        <v>89123036741</v>
      </c>
      <c r="D40" s="240">
        <f t="shared" si="3"/>
        <v>192</v>
      </c>
      <c r="E40" s="240">
        <f>VLOOKUP(Tabla512102231[[#This Row],[No. Exp]],Tabla6[],5)</f>
        <v>40.625</v>
      </c>
      <c r="F40" s="240">
        <f>ROUND(Tabla512102231[[#This Row],[Horas Trabajadas]]*Tabla512102231[[#This Row],[Tarifas x horas ]],0)</f>
        <v>7800</v>
      </c>
      <c r="G40" s="241"/>
      <c r="H40" s="247">
        <f>Tabla512102231[[#This Row],[Salario Básico]]+Tabla512102231[[#This Row],[Bonif]]</f>
        <v>7800</v>
      </c>
      <c r="I40" s="244"/>
      <c r="J40" s="246"/>
      <c r="K40" s="241">
        <f>Tabla512102231[[#This Row],[Sal. Dev]]/24*Tabla512102231[[#This Row],[Vacaciones]]</f>
        <v>0</v>
      </c>
      <c r="L40" s="247">
        <f>Tabla512102231[[#This Row],[Sal. Dev]]-Tabla512102231[[#This Row],[Ausencias]]+Tabla512102231[[#This Row],[pago x Vacaciones]]</f>
        <v>7800</v>
      </c>
      <c r="M40" s="240">
        <f>5%*Tabla512102231[[#This Row],[Salario Neto]]</f>
        <v>390</v>
      </c>
      <c r="N40" s="240">
        <f t="shared" si="2"/>
        <v>187.5</v>
      </c>
      <c r="O40" s="240"/>
      <c r="P40" s="247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40" s="174"/>
    </row>
    <row r="41" spans="1:17" ht="62.15" customHeight="1">
      <c r="A41" s="202">
        <v>20</v>
      </c>
      <c r="B41" s="201" t="str">
        <f>VLOOKUP(Tabla512102231[[#This Row],[No. Exp]],Tabla6[],2)</f>
        <v>René Acosta Cruz</v>
      </c>
      <c r="C41" s="203" t="str">
        <f>VLOOKUP(Tabla512102231[[#This Row],[No. Exp]],Tabla6[],3)</f>
        <v>89082821885</v>
      </c>
      <c r="D41" s="240">
        <f t="shared" si="3"/>
        <v>192</v>
      </c>
      <c r="E41" s="240">
        <f>VLOOKUP(Tabla512102231[[#This Row],[No. Exp]],Tabla6[],5)</f>
        <v>40.625</v>
      </c>
      <c r="F41" s="240">
        <f>ROUND(Tabla512102231[[#This Row],[Horas Trabajadas]]*Tabla512102231[[#This Row],[Tarifas x horas ]],0)</f>
        <v>7800</v>
      </c>
      <c r="G41" s="241"/>
      <c r="H41" s="247">
        <f>Tabla512102231[[#This Row],[Salario Básico]]+Tabla512102231[[#This Row],[Bonif]]</f>
        <v>7800</v>
      </c>
      <c r="I41" s="244"/>
      <c r="J41" s="246"/>
      <c r="K41" s="241">
        <f>Tabla512102231[[#This Row],[Sal. Dev]]/24*Tabla512102231[[#This Row],[Vacaciones]]</f>
        <v>0</v>
      </c>
      <c r="L41" s="247">
        <f>Tabla512102231[[#This Row],[Sal. Dev]]-Tabla512102231[[#This Row],[Ausencias]]+Tabla512102231[[#This Row],[pago x Vacaciones]]</f>
        <v>7800</v>
      </c>
      <c r="M41" s="240">
        <f>5%*Tabla512102231[[#This Row],[Salario Neto]]</f>
        <v>390</v>
      </c>
      <c r="N41" s="240">
        <f t="shared" si="2"/>
        <v>187.5</v>
      </c>
      <c r="O41" s="240"/>
      <c r="P41" s="247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41" s="174"/>
    </row>
    <row r="42" spans="1:17" ht="73.3" customHeight="1">
      <c r="A42" s="202">
        <v>25</v>
      </c>
      <c r="B42" s="201" t="str">
        <f>VLOOKUP(Tabla512102231[[#This Row],[No. Exp]],Tabla6[],2)</f>
        <v>Pedro Emilio Robaina Morales</v>
      </c>
      <c r="C42" s="203" t="str">
        <f>VLOOKUP(Tabla512102231[[#This Row],[No. Exp]],Tabla6[],3)</f>
        <v>02021968481</v>
      </c>
      <c r="D42" s="240">
        <f>D40</f>
        <v>192</v>
      </c>
      <c r="E42" s="240">
        <f>VLOOKUP(Tabla512102231[[#This Row],[No. Exp]],Tabla6[],5)</f>
        <v>40.625</v>
      </c>
      <c r="F42" s="240">
        <f>ROUND(Tabla512102231[[#This Row],[Horas Trabajadas]]*Tabla512102231[[#This Row],[Tarifas x horas ]],0)</f>
        <v>7800</v>
      </c>
      <c r="G42" s="241"/>
      <c r="H42" s="247">
        <f>Tabla512102231[[#This Row],[Salario Básico]]+Tabla512102231[[#This Row],[Bonif]]</f>
        <v>7800</v>
      </c>
      <c r="I42" s="244"/>
      <c r="J42" s="246"/>
      <c r="K42" s="241">
        <f>Tabla512102231[[#This Row],[Sal. Dev]]/24*Tabla512102231[[#This Row],[Vacaciones]]</f>
        <v>0</v>
      </c>
      <c r="L42" s="247">
        <f>Tabla512102231[[#This Row],[Sal. Dev]]-Tabla512102231[[#This Row],[Ausencias]]+Tabla512102231[[#This Row],[pago x Vacaciones]]</f>
        <v>7800</v>
      </c>
      <c r="M42" s="240">
        <f>5%*Tabla512102231[[#This Row],[Salario Neto]]</f>
        <v>390</v>
      </c>
      <c r="N42" s="240">
        <f t="shared" si="2"/>
        <v>187.5</v>
      </c>
      <c r="O42" s="240"/>
      <c r="P42" s="247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42" s="174"/>
    </row>
    <row r="43" spans="1:17" ht="83.6" customHeight="1">
      <c r="A43" s="202">
        <v>27</v>
      </c>
      <c r="B43" s="201" t="str">
        <f>VLOOKUP(Tabla512102231[[#This Row],[No. Exp]],Tabla6[],2)</f>
        <v>Exsuan José Carvajal</v>
      </c>
      <c r="C43" s="203" t="str">
        <f>VLOOKUP(Tabla512102231[[#This Row],[No. Exp]],Tabla6[],3)</f>
        <v>97031207088</v>
      </c>
      <c r="D43" s="240">
        <f>D42</f>
        <v>192</v>
      </c>
      <c r="E43" s="240">
        <f>VLOOKUP(Tabla512102231[[#This Row],[No. Exp]],Tabla6[],5)</f>
        <v>40.625</v>
      </c>
      <c r="F43" s="240">
        <f>ROUND(Tabla512102231[[#This Row],[Horas Trabajadas]]*Tabla512102231[[#This Row],[Tarifas x horas ]],0)</f>
        <v>7800</v>
      </c>
      <c r="G43" s="241"/>
      <c r="H43" s="247">
        <f>Tabla512102231[[#This Row],[Salario Básico]]+Tabla512102231[[#This Row],[Bonif]]</f>
        <v>7800</v>
      </c>
      <c r="I43" s="244"/>
      <c r="J43" s="246"/>
      <c r="K43" s="241">
        <f>Tabla512102231[[#This Row],[Sal. Dev]]/24*Tabla512102231[[#This Row],[Vacaciones]]</f>
        <v>0</v>
      </c>
      <c r="L43" s="247">
        <f>Tabla512102231[[#This Row],[Sal. Dev]]-Tabla512102231[[#This Row],[Ausencias]]+Tabla512102231[[#This Row],[pago x Vacaciones]]</f>
        <v>7800</v>
      </c>
      <c r="M43" s="240">
        <f>5%*Tabla512102231[[#This Row],[Salario Neto]]</f>
        <v>390</v>
      </c>
      <c r="N43" s="240">
        <f t="shared" si="2"/>
        <v>187.5</v>
      </c>
      <c r="O43" s="240"/>
      <c r="P43" s="247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43" s="174"/>
    </row>
    <row r="44" spans="1:17" ht="64.3" customHeight="1">
      <c r="A44" s="202">
        <v>28</v>
      </c>
      <c r="B44" s="201" t="str">
        <f>VLOOKUP(Tabla512102231[[#This Row],[No. Exp]],Tabla6[],2)</f>
        <v>Nestor Suárez Martínez</v>
      </c>
      <c r="C44" s="203" t="str">
        <f>VLOOKUP(Tabla512102231[[#This Row],[No. Exp]],Tabla6[],3)</f>
        <v>92102030581</v>
      </c>
      <c r="D44" s="240">
        <f>D43</f>
        <v>192</v>
      </c>
      <c r="E44" s="240">
        <f>VLOOKUP(Tabla512102231[[#This Row],[No. Exp]],Tabla6[],5)</f>
        <v>40.625</v>
      </c>
      <c r="F44" s="240">
        <f>ROUND(Tabla512102231[[#This Row],[Horas Trabajadas]]*Tabla512102231[[#This Row],[Tarifas x horas ]],0)</f>
        <v>7800</v>
      </c>
      <c r="G44" s="241"/>
      <c r="H44" s="247">
        <f>Tabla512102231[[#This Row],[Salario Básico]]+Tabla512102231[[#This Row],[Bonif]]</f>
        <v>7800</v>
      </c>
      <c r="I44" s="244"/>
      <c r="J44" s="246"/>
      <c r="K44" s="241">
        <f>Tabla512102231[[#This Row],[Sal. Dev]]/24*Tabla512102231[[#This Row],[Vacaciones]]</f>
        <v>0</v>
      </c>
      <c r="L44" s="247">
        <f>Tabla512102231[[#This Row],[Sal. Dev]]-Tabla512102231[[#This Row],[Ausencias]]+Tabla512102231[[#This Row],[pago x Vacaciones]]</f>
        <v>7800</v>
      </c>
      <c r="M44" s="240">
        <f>5%*Tabla512102231[[#This Row],[Salario Neto]]</f>
        <v>390</v>
      </c>
      <c r="N44" s="240">
        <f t="shared" si="2"/>
        <v>187.5</v>
      </c>
      <c r="O44" s="240"/>
      <c r="P44" s="247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44" s="174"/>
    </row>
    <row r="45" spans="1:17" ht="55.75" customHeight="1">
      <c r="A45" s="202">
        <v>29</v>
      </c>
      <c r="B45" s="201" t="str">
        <f>VLOOKUP(Tabla512102231[[#This Row],[No. Exp]],Tabla6[],2)</f>
        <v>Rafael Arias Aldana</v>
      </c>
      <c r="C45" s="203" t="str">
        <f>VLOOKUP(Tabla512102231[[#This Row],[No. Exp]],Tabla6[],3)</f>
        <v>99120607402</v>
      </c>
      <c r="D45" s="240">
        <f t="shared" ref="D45" si="4">D43</f>
        <v>192</v>
      </c>
      <c r="E45" s="240">
        <f>VLOOKUP(Tabla512102231[[#This Row],[No. Exp]],Tabla6[],5)</f>
        <v>40.625</v>
      </c>
      <c r="F45" s="240">
        <f>ROUND(Tabla512102231[[#This Row],[Horas Trabajadas]]*Tabla512102231[[#This Row],[Tarifas x horas ]],0)</f>
        <v>7800</v>
      </c>
      <c r="G45" s="241"/>
      <c r="H45" s="247">
        <f>Tabla512102231[[#This Row],[Salario Básico]]+Tabla512102231[[#This Row],[Bonif]]</f>
        <v>7800</v>
      </c>
      <c r="I45" s="244"/>
      <c r="J45" s="246"/>
      <c r="K45" s="241">
        <f>Tabla512102231[[#This Row],[Sal. Dev]]/24*Tabla512102231[[#This Row],[Vacaciones]]</f>
        <v>0</v>
      </c>
      <c r="L45" s="247">
        <f>Tabla512102231[[#This Row],[Sal. Dev]]-Tabla512102231[[#This Row],[Ausencias]]+Tabla512102231[[#This Row],[pago x Vacaciones]]</f>
        <v>7800</v>
      </c>
      <c r="M45" s="240">
        <f>5%*Tabla512102231[[#This Row],[Salario Neto]]</f>
        <v>390</v>
      </c>
      <c r="N45" s="240">
        <f t="shared" si="2"/>
        <v>187.5</v>
      </c>
      <c r="O45" s="240"/>
      <c r="P45" s="247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45" s="174"/>
    </row>
    <row r="46" spans="1:17" ht="66" customHeight="1">
      <c r="A46" s="202">
        <v>94</v>
      </c>
      <c r="B46" s="248" t="str">
        <f>VLOOKUP(Tabla512102231[[#This Row],[No. Exp]],Tabla6[],2)</f>
        <v>Morganti Sollet Matos</v>
      </c>
      <c r="C46" s="202" t="str">
        <f>VLOOKUP(Tabla512102231[[#This Row],[No. Exp]],Tabla6[],3)</f>
        <v>02111067446</v>
      </c>
      <c r="D46" s="249">
        <v>192</v>
      </c>
      <c r="E46" s="240">
        <f>VLOOKUP(Tabla512102231[[#This Row],[No. Exp]],Tabla6[],5)</f>
        <v>40.625</v>
      </c>
      <c r="F46" s="249">
        <f>ROUND(Tabla512102231[[#This Row],[Horas Trabajadas]]*Tabla512102231[[#This Row],[Tarifas x horas ]],0)</f>
        <v>7800</v>
      </c>
      <c r="G46" s="244"/>
      <c r="H46" s="245">
        <f>Tabla512102231[[#This Row],[Salario Básico]]+Tabla512102231[[#This Row],[Bonif]]</f>
        <v>7800</v>
      </c>
      <c r="I46" s="244"/>
      <c r="J46" s="246"/>
      <c r="K46" s="241">
        <f>Tabla512102231[[#This Row],[Sal. Dev]]/24*Tabla512102231[[#This Row],[Vacaciones]]</f>
        <v>0</v>
      </c>
      <c r="L46" s="247">
        <f>Tabla512102231[[#This Row],[Sal. Dev]]-Tabla512102231[[#This Row],[Ausencias]]+Tabla512102231[[#This Row],[pago x Vacaciones]]</f>
        <v>7800</v>
      </c>
      <c r="M46" s="240">
        <f>5%*Tabla512102231[[#This Row],[Salario Neto]]</f>
        <v>390</v>
      </c>
      <c r="N46" s="240">
        <f t="shared" si="2"/>
        <v>187.5</v>
      </c>
      <c r="O46" s="240"/>
      <c r="P46" s="247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46" s="174"/>
    </row>
    <row r="47" spans="1:17" ht="71.150000000000006" customHeight="1">
      <c r="A47" s="202">
        <v>95</v>
      </c>
      <c r="B47" s="248" t="str">
        <f>VLOOKUP(Tabla512102231[[#This Row],[No. Exp]],Tabla6[],2)</f>
        <v>Favio Alameda Cuevas</v>
      </c>
      <c r="C47" s="202">
        <f>VLOOKUP(Tabla512102231[[#This Row],[No. Exp]],Tabla6[],3)</f>
        <v>96113009646</v>
      </c>
      <c r="D47" s="249">
        <v>192</v>
      </c>
      <c r="E47" s="240">
        <f>VLOOKUP(Tabla512102231[[#This Row],[No. Exp]],Tabla6[],5)</f>
        <v>40.625</v>
      </c>
      <c r="F47" s="249">
        <f>ROUND(Tabla512102231[[#This Row],[Horas Trabajadas]]*Tabla512102231[[#This Row],[Tarifas x horas ]],0)</f>
        <v>7800</v>
      </c>
      <c r="G47" s="244"/>
      <c r="H47" s="245">
        <f>Tabla512102231[[#This Row],[Salario Básico]]+Tabla512102231[[#This Row],[Bonif]]</f>
        <v>7800</v>
      </c>
      <c r="I47" s="244"/>
      <c r="J47" s="246"/>
      <c r="K47" s="241">
        <f>Tabla512102231[[#This Row],[Sal. Dev]]/24*Tabla512102231[[#This Row],[Vacaciones]]</f>
        <v>0</v>
      </c>
      <c r="L47" s="247">
        <f>Tabla512102231[[#This Row],[Sal. Dev]]-Tabla512102231[[#This Row],[Ausencias]]+Tabla512102231[[#This Row],[pago x Vacaciones]]</f>
        <v>7800</v>
      </c>
      <c r="M47" s="240">
        <f>5%*Tabla512102231[[#This Row],[Salario Neto]]</f>
        <v>390</v>
      </c>
      <c r="N47" s="240">
        <f t="shared" si="2"/>
        <v>187.5</v>
      </c>
      <c r="O47" s="240"/>
      <c r="P47" s="247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47" s="174"/>
    </row>
    <row r="48" spans="1:17" ht="78" customHeight="1">
      <c r="A48" s="202">
        <v>101</v>
      </c>
      <c r="B48" s="248" t="str">
        <f>VLOOKUP(Tabla512102231[[#This Row],[No. Exp]],Tabla6[],2)</f>
        <v>Samuel Fernández Suárez</v>
      </c>
      <c r="C48" s="202" t="str">
        <f>VLOOKUP(Tabla512102231[[#This Row],[No. Exp]],Tabla6[],3)</f>
        <v>98122020021</v>
      </c>
      <c r="D48" s="249">
        <v>192</v>
      </c>
      <c r="E48" s="240">
        <f>VLOOKUP(Tabla512102231[[#This Row],[No. Exp]],Tabla6[],5)</f>
        <v>40.625</v>
      </c>
      <c r="F48" s="249">
        <f>ROUND(Tabla512102231[[#This Row],[Horas Trabajadas]]*Tabla512102231[[#This Row],[Tarifas x horas ]],0)</f>
        <v>7800</v>
      </c>
      <c r="G48" s="244"/>
      <c r="H48" s="245">
        <f>Tabla512102231[[#This Row],[Salario Básico]]+Tabla512102231[[#This Row],[Bonif]]</f>
        <v>7800</v>
      </c>
      <c r="I48" s="244"/>
      <c r="J48" s="246"/>
      <c r="K48" s="241">
        <f>Tabla512102231[[#This Row],[Sal. Dev]]/24*Tabla512102231[[#This Row],[Vacaciones]]</f>
        <v>0</v>
      </c>
      <c r="L48" s="247">
        <f>Tabla512102231[[#This Row],[Sal. Dev]]-Tabla512102231[[#This Row],[Ausencias]]+Tabla512102231[[#This Row],[pago x Vacaciones]]</f>
        <v>7800</v>
      </c>
      <c r="M48" s="240">
        <f>5%*Tabla512102231[[#This Row],[Salario Neto]]</f>
        <v>390</v>
      </c>
      <c r="N48" s="240">
        <f t="shared" si="2"/>
        <v>187.5</v>
      </c>
      <c r="O48" s="240"/>
      <c r="P48" s="247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48" s="174"/>
    </row>
    <row r="49" spans="1:17" ht="71.150000000000006" customHeight="1">
      <c r="A49" s="200">
        <v>108</v>
      </c>
      <c r="B49" s="201" t="str">
        <f>VLOOKUP(Tabla512102231[[#This Row],[No. Exp]],Tabla6[],2)</f>
        <v xml:space="preserve">Enmanuel Oscar Fonseca Heredia  </v>
      </c>
      <c r="C49" s="203">
        <f>VLOOKUP(Tabla512102231[[#This Row],[No. Exp]],Tabla6[],3)</f>
        <v>87110730906</v>
      </c>
      <c r="D49" s="240">
        <v>192</v>
      </c>
      <c r="E49" s="240">
        <f>VLOOKUP(Tabla512102231[[#This Row],[No. Exp]],Tabla6[],5)</f>
        <v>40.625</v>
      </c>
      <c r="F49" s="240">
        <f>ROUND(Tabla512102231[[#This Row],[Horas Trabajadas]]*Tabla512102231[[#This Row],[Tarifas x horas ]],0)</f>
        <v>7800</v>
      </c>
      <c r="G49" s="241"/>
      <c r="H49" s="247">
        <f>Tabla512102231[[#This Row],[Salario Básico]]+Tabla512102231[[#This Row],[Bonif]]</f>
        <v>7800</v>
      </c>
      <c r="I49" s="244"/>
      <c r="J49" s="246"/>
      <c r="K49" s="241">
        <f>Tabla512102231[[#This Row],[Sal. Dev]]/24*Tabla512102231[[#This Row],[Vacaciones]]</f>
        <v>0</v>
      </c>
      <c r="L49" s="245">
        <f>Tabla512102231[[#This Row],[Sal. Dev]]-Tabla512102231[[#This Row],[Ausencias]]+Tabla512102231[[#This Row],[pago x Vacaciones]]</f>
        <v>7800</v>
      </c>
      <c r="M49" s="249">
        <f>5%*Tabla512102231[[#This Row],[Salario Neto]]</f>
        <v>390</v>
      </c>
      <c r="N49" s="240">
        <f t="shared" si="2"/>
        <v>187.5</v>
      </c>
      <c r="O49" s="240"/>
      <c r="P49" s="245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49" s="174"/>
    </row>
    <row r="50" spans="1:17" ht="75" customHeight="1">
      <c r="A50" s="200">
        <v>117</v>
      </c>
      <c r="B50" s="201" t="str">
        <f>VLOOKUP(Tabla512102231[[#This Row],[No. Exp]],Tabla6[],2)</f>
        <v xml:space="preserve">Omar Soler Menéndez </v>
      </c>
      <c r="C50" s="203">
        <f>VLOOKUP(Tabla512102231[[#This Row],[No. Exp]],Tabla6[],3)</f>
        <v>93080832509</v>
      </c>
      <c r="D50" s="240">
        <v>192</v>
      </c>
      <c r="E50" s="240">
        <f>VLOOKUP(Tabla512102231[[#This Row],[No. Exp]],Tabla6[],5)</f>
        <v>40.625</v>
      </c>
      <c r="F50" s="240">
        <f>ROUND(Tabla512102231[[#This Row],[Horas Trabajadas]]*Tabla512102231[[#This Row],[Tarifas x horas ]],0)</f>
        <v>7800</v>
      </c>
      <c r="G50" s="241"/>
      <c r="H50" s="247">
        <f>Tabla512102231[[#This Row],[Salario Básico]]+Tabla512102231[[#This Row],[Bonif]]</f>
        <v>7800</v>
      </c>
      <c r="I50" s="244"/>
      <c r="J50" s="246"/>
      <c r="K50" s="241">
        <f>Tabla512102231[[#This Row],[Sal. Dev]]/24*Tabla512102231[[#This Row],[Vacaciones]]</f>
        <v>0</v>
      </c>
      <c r="L50" s="245">
        <f>Tabla512102231[[#This Row],[Sal. Dev]]-Tabla512102231[[#This Row],[Ausencias]]+Tabla512102231[[#This Row],[pago x Vacaciones]]</f>
        <v>7800</v>
      </c>
      <c r="M50" s="249">
        <f>5%*Tabla512102231[[#This Row],[Salario Neto]]</f>
        <v>390</v>
      </c>
      <c r="N50" s="240">
        <f t="shared" si="2"/>
        <v>187.5</v>
      </c>
      <c r="O50" s="240"/>
      <c r="P50" s="245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50" s="174"/>
    </row>
    <row r="51" spans="1:17" ht="53.6" customHeight="1">
      <c r="A51" s="200">
        <v>120</v>
      </c>
      <c r="B51" s="201" t="str">
        <f>VLOOKUP(Tabla512102231[[#This Row],[No. Exp]],Tabla6[],2)</f>
        <v>Victor Damián Quesada Mojena</v>
      </c>
      <c r="C51" s="203">
        <f>VLOOKUP(Tabla512102231[[#This Row],[No. Exp]],Tabla6[],3)</f>
        <v>88012805789</v>
      </c>
      <c r="D51" s="240">
        <v>192</v>
      </c>
      <c r="E51" s="240">
        <f>VLOOKUP(Tabla512102231[[#This Row],[No. Exp]],Tabla6[],5)</f>
        <v>40.625</v>
      </c>
      <c r="F51" s="240">
        <f>ROUND(Tabla512102231[[#This Row],[Horas Trabajadas]]*Tabla512102231[[#This Row],[Tarifas x horas ]],0)</f>
        <v>7800</v>
      </c>
      <c r="G51" s="241"/>
      <c r="H51" s="247">
        <f>Tabla512102231[[#This Row],[Salario Básico]]+Tabla512102231[[#This Row],[Bonif]]</f>
        <v>7800</v>
      </c>
      <c r="I51" s="244"/>
      <c r="J51" s="246"/>
      <c r="K51" s="241">
        <f>Tabla512102231[[#This Row],[Sal. Dev]]/24*Tabla512102231[[#This Row],[Vacaciones]]</f>
        <v>0</v>
      </c>
      <c r="L51" s="245">
        <f>Tabla512102231[[#This Row],[Sal. Dev]]-Tabla512102231[[#This Row],[Ausencias]]+Tabla512102231[[#This Row],[pago x Vacaciones]]</f>
        <v>7800</v>
      </c>
      <c r="M51" s="249">
        <f>5%*Tabla512102231[[#This Row],[Salario Neto]]</f>
        <v>390</v>
      </c>
      <c r="N51" s="240">
        <f t="shared" si="2"/>
        <v>187.5</v>
      </c>
      <c r="O51" s="240"/>
      <c r="P51" s="245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51" s="174"/>
    </row>
    <row r="52" spans="1:17" ht="73.75" customHeight="1">
      <c r="A52" s="200">
        <v>123</v>
      </c>
      <c r="B52" s="201" t="str">
        <f>VLOOKUP(Tabla512102231[[#This Row],[No. Exp]],Tabla6[],2)</f>
        <v>Erick De León Pedroso</v>
      </c>
      <c r="C52" s="203">
        <f>VLOOKUP(Tabla512102231[[#This Row],[No. Exp]],Tabla6[],3)</f>
        <v>91051527860</v>
      </c>
      <c r="D52" s="240">
        <v>192</v>
      </c>
      <c r="E52" s="240">
        <f>VLOOKUP(Tabla512102231[[#This Row],[No. Exp]],Tabla6[],5)</f>
        <v>40.625</v>
      </c>
      <c r="F52" s="240">
        <f>ROUND(Tabla512102231[[#This Row],[Horas Trabajadas]]*Tabla512102231[[#This Row],[Tarifas x horas ]],0)</f>
        <v>7800</v>
      </c>
      <c r="G52" s="241"/>
      <c r="H52" s="247">
        <f>Tabla512102231[[#This Row],[Salario Básico]]+Tabla512102231[[#This Row],[Bonif]]</f>
        <v>7800</v>
      </c>
      <c r="I52" s="244"/>
      <c r="J52" s="246"/>
      <c r="K52" s="241">
        <f>Tabla512102231[[#This Row],[Sal. Dev]]/24*Tabla512102231[[#This Row],[Vacaciones]]</f>
        <v>0</v>
      </c>
      <c r="L52" s="245">
        <f>Tabla512102231[[#This Row],[Sal. Dev]]-Tabla512102231[[#This Row],[Ausencias]]+Tabla512102231[[#This Row],[pago x Vacaciones]]</f>
        <v>7800</v>
      </c>
      <c r="M52" s="249">
        <f>5%*Tabla512102231[[#This Row],[Salario Neto]]</f>
        <v>390</v>
      </c>
      <c r="N52" s="240">
        <f t="shared" si="2"/>
        <v>187.5</v>
      </c>
      <c r="O52" s="240"/>
      <c r="P52" s="245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52" s="174"/>
    </row>
    <row r="53" spans="1:17" ht="94.3" customHeight="1">
      <c r="A53" s="200">
        <v>111</v>
      </c>
      <c r="B53" s="201" t="str">
        <f>VLOOKUP(Tabla512102231[[#This Row],[No. Exp]],Tabla6[],2)</f>
        <v>Cristhian Camilo Cruz Napoles</v>
      </c>
      <c r="C53" s="203" t="str">
        <f>VLOOKUP(Tabla512102231[[#This Row],[No. Exp]],Tabla6[],3)</f>
        <v>01092576745</v>
      </c>
      <c r="D53" s="240">
        <v>192</v>
      </c>
      <c r="E53" s="240">
        <f>VLOOKUP(Tabla512102231[[#This Row],[No. Exp]],Tabla6[],5)</f>
        <v>40.625</v>
      </c>
      <c r="F53" s="240">
        <f>ROUND(Tabla512102231[[#This Row],[Horas Trabajadas]]*Tabla512102231[[#This Row],[Tarifas x horas ]],0)</f>
        <v>7800</v>
      </c>
      <c r="G53" s="241"/>
      <c r="H53" s="247">
        <f>Tabla512102231[[#This Row],[Salario Básico]]+Tabla512102231[[#This Row],[Bonif]]</f>
        <v>7800</v>
      </c>
      <c r="I53" s="244"/>
      <c r="J53" s="246"/>
      <c r="K53" s="241">
        <f>Tabla512102231[[#This Row],[Sal. Dev]]/24*Tabla512102231[[#This Row],[Vacaciones]]</f>
        <v>0</v>
      </c>
      <c r="L53" s="245">
        <f>Tabla512102231[[#This Row],[Sal. Dev]]-Tabla512102231[[#This Row],[Ausencias]]+Tabla512102231[[#This Row],[pago x Vacaciones]]</f>
        <v>7800</v>
      </c>
      <c r="M53" s="249">
        <f>5%*Tabla512102231[[#This Row],[Salario Neto]]</f>
        <v>390</v>
      </c>
      <c r="N53" s="240">
        <f t="shared" si="2"/>
        <v>187.5</v>
      </c>
      <c r="O53" s="240"/>
      <c r="P53" s="245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53" s="174"/>
    </row>
    <row r="54" spans="1:17" ht="99.9" customHeight="1">
      <c r="A54" s="200">
        <v>109</v>
      </c>
      <c r="B54" s="201" t="str">
        <f>VLOOKUP(Tabla512102231[[#This Row],[No. Exp]],Tabla6[],2)</f>
        <v>Cristian David Pantaleón Averhoff</v>
      </c>
      <c r="C54" s="203" t="str">
        <f>VLOOKUP(Tabla512102231[[#This Row],[No. Exp]],Tabla6[],3)</f>
        <v>05042178048</v>
      </c>
      <c r="D54" s="240">
        <v>192</v>
      </c>
      <c r="E54" s="240">
        <f>VLOOKUP(Tabla512102231[[#This Row],[No. Exp]],Tabla6[],5)</f>
        <v>40.625</v>
      </c>
      <c r="F54" s="240">
        <f>ROUND(Tabla512102231[[#This Row],[Horas Trabajadas]]*Tabla512102231[[#This Row],[Tarifas x horas ]],0)</f>
        <v>7800</v>
      </c>
      <c r="G54" s="241"/>
      <c r="H54" s="247">
        <f>Tabla512102231[[#This Row],[Salario Básico]]+Tabla512102231[[#This Row],[Bonif]]</f>
        <v>7800</v>
      </c>
      <c r="I54" s="244"/>
      <c r="J54" s="246"/>
      <c r="K54" s="241"/>
      <c r="L54" s="245">
        <f>Tabla512102231[[#This Row],[Sal. Dev]]-Tabla512102231[[#This Row],[Ausencias]]+Tabla512102231[[#This Row],[pago x Vacaciones]]</f>
        <v>7800</v>
      </c>
      <c r="M54" s="249">
        <f>5%*Tabla512102231[[#This Row],[Salario Neto]]</f>
        <v>390</v>
      </c>
      <c r="N54" s="249">
        <f>(9510-3260)*3%</f>
        <v>187.5</v>
      </c>
      <c r="O54" s="240"/>
      <c r="P54" s="245">
        <f>Tabla512102231[[#This Row],[Sal. Dev]]-Tabla512102231[[#This Row],[Ausencias]]+Tabla512102231[[#This Row],[pago x Vacaciones]]-Tabla512102231[[#This Row],[importe Seg Social]]-Tabla512102231[[#This Row],[Imp. Sobr. Ing. Per 3% (3260.00-9510.00)]]</f>
        <v>7222.5</v>
      </c>
      <c r="Q54" s="174"/>
    </row>
    <row r="55" spans="1:17" ht="32.6">
      <c r="A55" s="200"/>
      <c r="B55" s="201"/>
      <c r="C55" s="203"/>
      <c r="D55" s="261"/>
      <c r="E55" s="261"/>
      <c r="F55" s="200"/>
      <c r="G55" s="200"/>
      <c r="H55" s="262"/>
      <c r="I55" s="202"/>
      <c r="J55" s="263"/>
      <c r="K55" s="200"/>
      <c r="L55" s="264"/>
      <c r="M55" s="202"/>
      <c r="N55" s="261"/>
      <c r="O55" s="265"/>
      <c r="P55" s="202"/>
      <c r="Q55" s="174"/>
    </row>
    <row r="56" spans="1:17">
      <c r="A56" s="193"/>
      <c r="B56" s="194"/>
      <c r="C56" s="193"/>
      <c r="D56" s="195"/>
      <c r="E56" s="174"/>
      <c r="F56" s="174"/>
      <c r="G56" s="193"/>
      <c r="H56" s="186"/>
      <c r="I56" s="193"/>
      <c r="J56" s="180"/>
      <c r="K56" s="188"/>
      <c r="L56" s="192"/>
      <c r="M56" s="188"/>
      <c r="N56" s="191"/>
      <c r="O56" s="196"/>
      <c r="P56" s="174"/>
      <c r="Q56" s="174"/>
    </row>
    <row r="57" spans="1:17">
      <c r="A57" s="193"/>
      <c r="B57" s="194"/>
      <c r="C57" s="193"/>
      <c r="D57" s="195"/>
      <c r="E57" s="174"/>
      <c r="F57" s="174"/>
      <c r="G57" s="193"/>
      <c r="H57" s="186"/>
      <c r="I57" s="193"/>
      <c r="J57" s="180"/>
      <c r="K57" s="188"/>
      <c r="L57" s="192"/>
      <c r="M57" s="188"/>
      <c r="N57" s="191"/>
      <c r="O57" s="196"/>
      <c r="P57" s="174"/>
      <c r="Q57" s="174"/>
    </row>
    <row r="58" spans="1:17">
      <c r="A58" s="155"/>
      <c r="B58" s="153"/>
      <c r="C58" s="155"/>
      <c r="D58" s="156"/>
      <c r="G58" s="155"/>
      <c r="H58" s="144"/>
      <c r="I58" s="155"/>
      <c r="J58" s="143"/>
      <c r="K58" s="148"/>
      <c r="L58" s="157"/>
      <c r="M58" s="148"/>
      <c r="N58" s="149"/>
      <c r="O58" s="151"/>
    </row>
    <row r="59" spans="1:17">
      <c r="A59" s="155"/>
      <c r="B59" s="153"/>
      <c r="C59" s="155"/>
      <c r="D59" s="156"/>
      <c r="G59" s="155"/>
      <c r="H59" s="144"/>
      <c r="I59" s="155"/>
      <c r="J59" s="143"/>
      <c r="K59" s="148"/>
      <c r="L59" s="157"/>
      <c r="M59" s="148"/>
      <c r="N59" s="149"/>
      <c r="O59" s="151"/>
    </row>
    <row r="60" spans="1:17">
      <c r="A60" s="155"/>
      <c r="C60" s="155"/>
      <c r="D60" s="156"/>
      <c r="G60" s="155"/>
      <c r="H60" s="144"/>
      <c r="I60" s="155"/>
      <c r="J60" s="143"/>
      <c r="K60" s="148"/>
      <c r="L60" s="157"/>
      <c r="M60" s="148"/>
      <c r="N60" s="149"/>
      <c r="O60" s="151"/>
    </row>
    <row r="61" spans="1:17" ht="33.450000000000003">
      <c r="A61" s="155"/>
      <c r="B61" s="167"/>
      <c r="C61" s="155"/>
      <c r="D61" s="156"/>
      <c r="G61" s="155"/>
      <c r="H61" s="144"/>
      <c r="I61" s="155"/>
      <c r="J61" s="143"/>
      <c r="K61" s="148"/>
      <c r="L61" s="157"/>
      <c r="M61" s="148"/>
      <c r="N61" s="149"/>
      <c r="O61" s="151"/>
    </row>
    <row r="62" spans="1:17" ht="33.450000000000003">
      <c r="A62" s="155"/>
      <c r="B62" s="167"/>
      <c r="C62" s="155"/>
      <c r="D62" s="156"/>
      <c r="G62" s="155"/>
      <c r="H62" s="144"/>
      <c r="I62" s="155"/>
      <c r="J62" s="143"/>
      <c r="K62" s="148"/>
      <c r="L62" s="157"/>
      <c r="M62" s="148"/>
      <c r="N62" s="149"/>
      <c r="O62" s="151"/>
    </row>
    <row r="63" spans="1:17" ht="33.450000000000003">
      <c r="A63" s="155"/>
      <c r="B63" s="167"/>
      <c r="C63" s="155"/>
      <c r="D63" s="156"/>
      <c r="G63" s="155"/>
      <c r="H63" s="144"/>
      <c r="I63" s="155"/>
      <c r="J63" s="143"/>
      <c r="K63" s="148"/>
      <c r="L63" s="157"/>
      <c r="M63" s="148"/>
      <c r="N63" s="149"/>
      <c r="O63" s="151"/>
    </row>
    <row r="64" spans="1:17" ht="33.450000000000003">
      <c r="A64" s="155"/>
      <c r="B64" s="167"/>
      <c r="C64" s="155"/>
      <c r="D64" s="156"/>
      <c r="G64" s="155"/>
      <c r="H64" s="144"/>
      <c r="I64" s="155"/>
      <c r="J64" s="143"/>
      <c r="K64" s="148"/>
      <c r="L64" s="157"/>
      <c r="M64" s="148"/>
      <c r="N64" s="149"/>
      <c r="O64" s="151"/>
    </row>
    <row r="65" spans="1:33" ht="33.450000000000003">
      <c r="A65" s="155"/>
      <c r="B65" s="167"/>
      <c r="C65" s="155"/>
      <c r="D65" s="156"/>
      <c r="G65" s="155"/>
      <c r="H65" s="144"/>
      <c r="I65" s="155"/>
      <c r="J65" s="143"/>
      <c r="K65" s="148"/>
      <c r="L65" s="157"/>
      <c r="M65" s="148"/>
      <c r="N65" s="149"/>
      <c r="O65" s="151"/>
    </row>
    <row r="66" spans="1:33" ht="33.450000000000003">
      <c r="A66" s="155"/>
      <c r="B66" s="167" t="s">
        <v>243</v>
      </c>
      <c r="C66" s="155"/>
      <c r="D66" s="156"/>
      <c r="G66" s="155"/>
      <c r="H66" s="144"/>
      <c r="I66" s="155"/>
      <c r="J66" s="143"/>
      <c r="K66" s="148"/>
      <c r="L66" s="157"/>
      <c r="M66" s="148"/>
      <c r="N66" s="149"/>
      <c r="O66" s="151"/>
    </row>
    <row r="67" spans="1:33" ht="33.450000000000003">
      <c r="A67" s="155"/>
      <c r="B67" s="167"/>
      <c r="C67" s="155"/>
      <c r="D67" s="156"/>
      <c r="G67" s="155"/>
      <c r="H67" s="144"/>
      <c r="I67" s="155"/>
      <c r="J67" s="143"/>
      <c r="K67" s="148"/>
      <c r="L67" s="157"/>
      <c r="M67" s="148"/>
      <c r="N67" s="149"/>
      <c r="O67" s="151"/>
    </row>
    <row r="68" spans="1:33" ht="33.450000000000003">
      <c r="A68" s="155"/>
      <c r="B68" s="167"/>
      <c r="C68" s="155"/>
      <c r="D68" s="156"/>
      <c r="G68" s="155"/>
      <c r="H68" s="144"/>
      <c r="I68" s="155"/>
      <c r="J68" s="143"/>
      <c r="K68" s="148"/>
      <c r="L68" s="157"/>
      <c r="M68" s="148"/>
      <c r="N68" s="149"/>
      <c r="O68" s="151"/>
    </row>
    <row r="69" spans="1:33">
      <c r="A69" s="155"/>
      <c r="B69" s="153"/>
      <c r="C69" s="155"/>
      <c r="D69" s="156"/>
      <c r="G69" s="155"/>
      <c r="H69" s="144"/>
      <c r="I69" s="155"/>
      <c r="J69" s="143"/>
      <c r="K69" s="148"/>
      <c r="L69" s="157"/>
      <c r="M69" s="148"/>
      <c r="N69" s="149"/>
      <c r="O69" s="151"/>
    </row>
    <row r="70" spans="1:33" ht="45.45">
      <c r="A70" s="459" t="s">
        <v>0</v>
      </c>
      <c r="B70" s="459"/>
      <c r="C70" s="180"/>
      <c r="D70" s="180"/>
      <c r="E70" s="174"/>
      <c r="F70" s="174"/>
      <c r="G70" s="174"/>
      <c r="H70" s="174"/>
      <c r="I70" s="181" t="s">
        <v>1</v>
      </c>
      <c r="J70" s="181" t="s">
        <v>2</v>
      </c>
      <c r="K70" s="182">
        <f>K5</f>
        <v>45901</v>
      </c>
      <c r="L70" s="183" t="s">
        <v>3</v>
      </c>
      <c r="M70" s="182">
        <f>M5</f>
        <v>45930</v>
      </c>
      <c r="N70" s="181"/>
      <c r="O70" s="174"/>
      <c r="P70" s="174"/>
    </row>
    <row r="71" spans="1:33">
      <c r="A71" s="460" t="s">
        <v>4</v>
      </c>
      <c r="B71" s="460"/>
      <c r="C71" s="184" t="str">
        <f>C6</f>
        <v>Amanda Marcano Bahler</v>
      </c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</row>
    <row r="72" spans="1:33">
      <c r="A72" s="460" t="s">
        <v>5</v>
      </c>
      <c r="B72" s="460"/>
      <c r="C72" s="185"/>
      <c r="D72" s="174"/>
      <c r="E72" s="174"/>
      <c r="F72" s="174"/>
      <c r="G72" s="174"/>
      <c r="H72" s="174"/>
      <c r="I72" s="174"/>
      <c r="J72" s="174"/>
      <c r="K72" s="174"/>
      <c r="L72" s="174" t="str">
        <f>L7</f>
        <v>Horas:</v>
      </c>
      <c r="M72" s="184">
        <f>M7</f>
        <v>192</v>
      </c>
      <c r="N72" s="174"/>
      <c r="O72" s="174"/>
      <c r="P72" s="174"/>
    </row>
    <row r="73" spans="1:33">
      <c r="A73" s="174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</row>
    <row r="74" spans="1:33" ht="30">
      <c r="A74" s="465" t="s">
        <v>7</v>
      </c>
      <c r="B74" s="465"/>
      <c r="C74" s="187" t="s">
        <v>19</v>
      </c>
      <c r="D74" s="174"/>
      <c r="E74" s="174"/>
      <c r="F74" s="174"/>
      <c r="G74" s="174"/>
      <c r="H74" s="174"/>
      <c r="I74" s="174"/>
      <c r="J74" s="174"/>
      <c r="K74" s="174"/>
      <c r="L74" s="460" t="s">
        <v>9</v>
      </c>
      <c r="M74" s="460"/>
      <c r="N74" s="174"/>
      <c r="O74" s="174"/>
      <c r="P74" s="174"/>
    </row>
    <row r="75" spans="1:33" s="152" customFormat="1" ht="66.45" customHeight="1">
      <c r="A75" s="198" t="s">
        <v>10</v>
      </c>
      <c r="B75" s="198" t="s">
        <v>11</v>
      </c>
      <c r="C75" s="198" t="s">
        <v>12</v>
      </c>
      <c r="D75" s="198" t="s">
        <v>198</v>
      </c>
      <c r="E75" s="198" t="s">
        <v>190</v>
      </c>
      <c r="F75" s="198" t="s">
        <v>189</v>
      </c>
      <c r="G75" s="198" t="s">
        <v>14</v>
      </c>
      <c r="H75" s="199" t="s">
        <v>15</v>
      </c>
      <c r="I75" s="198" t="s">
        <v>197</v>
      </c>
      <c r="J75" s="198" t="s">
        <v>9</v>
      </c>
      <c r="K75" s="198" t="s">
        <v>16</v>
      </c>
      <c r="L75" s="198" t="s">
        <v>196</v>
      </c>
      <c r="M75" s="198" t="s">
        <v>194</v>
      </c>
      <c r="N75" s="198" t="s">
        <v>240</v>
      </c>
      <c r="O75" s="198" t="s">
        <v>241</v>
      </c>
      <c r="P75" s="199" t="s">
        <v>191</v>
      </c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61"/>
    </row>
    <row r="76" spans="1:33" ht="76.75" customHeight="1">
      <c r="A76" s="204">
        <v>30</v>
      </c>
      <c r="B76" s="205" t="str">
        <f>VLOOKUP(Tabla51213112332[[#This Row],[No. Exp]],Tabla6[],2)</f>
        <v>María Eugenia Cuevas Aguilera</v>
      </c>
      <c r="C76" s="204">
        <f>VLOOKUP(Tabla51213112332[[#This Row],[No. Exp]],Tabla6[],3)</f>
        <v>83120324816</v>
      </c>
      <c r="D76" s="206">
        <f>M72</f>
        <v>192</v>
      </c>
      <c r="E76" s="206">
        <f>VLOOKUP(Tabla51213112332[[#This Row],[No. Exp]],Tabla6[],5)</f>
        <v>41.665999999999997</v>
      </c>
      <c r="F76" s="206">
        <f>ROUND(Tabla51213112332[[#This Row],[Horas Trabajadas]]*Tabla51213112332[[#This Row],[Tarifas por horas]],0)</f>
        <v>8000</v>
      </c>
      <c r="G76" s="206"/>
      <c r="H76" s="210">
        <f>Tabla51213112332[[#This Row],[Salario Básico]]+Tabla51213112332[[#This Row],[Bonif]]</f>
        <v>8000</v>
      </c>
      <c r="I76" s="207"/>
      <c r="J76" s="209"/>
      <c r="K76" s="206">
        <f>Tabla51213112332[[#This Row],[Sal. Dev]]/24*Tabla51213112332[[#This Row],[Vacaciones]]</f>
        <v>0</v>
      </c>
      <c r="L76" s="210">
        <f>Tabla51213112332[[#This Row],[Sal. Dev]]-Tabla51213112332[[#This Row],[Ausencias]]+Tabla51213112332[[#This Row],[pago x vacaciones]]</f>
        <v>8000</v>
      </c>
      <c r="M76" s="206">
        <f>5%*Tabla51213112332[[#This Row],[Salario Neto]]</f>
        <v>400</v>
      </c>
      <c r="N76" s="206">
        <f>(9510-3260)*3%</f>
        <v>187.5</v>
      </c>
      <c r="O76" s="206"/>
      <c r="P76" s="210">
        <f>Tabla51213112332[[#This Row],[Sal. Dev]]-Tabla51213112332[[#This Row],[Ausencias]]+Tabla51213112332[[#This Row],[pago x vacaciones]]-Tabla51213112332[[#This Row],[importe Seg Social]]-Tabla51213112332[[#This Row],[Imp. Sobr. Ing. Per 3% (3260.00-9510.00)]]-Tabla51213112332[[#This Row],[Imp. Sobr. Ing. Per 5% (9510.00-15000.00)]]</f>
        <v>7412.5</v>
      </c>
    </row>
    <row r="77" spans="1:33" ht="60" customHeight="1">
      <c r="A77" s="211">
        <v>31</v>
      </c>
      <c r="B77" s="225" t="str">
        <f>VLOOKUP(Tabla51213112332[[#This Row],[No. Exp]],Tabla6[],2)</f>
        <v>Yadira Araújo Zaldívar</v>
      </c>
      <c r="C77" s="212">
        <f>VLOOKUP(Tabla51213112332[[#This Row],[No. Exp]],Tabla6[],3)</f>
        <v>84082204876</v>
      </c>
      <c r="D77" s="226">
        <f>M72</f>
        <v>192</v>
      </c>
      <c r="E77" s="226">
        <f>VLOOKUP(Tabla51213112332[[#This Row],[No. Exp]],Tabla6[],5)</f>
        <v>41.665999999999997</v>
      </c>
      <c r="F77" s="206">
        <f>ROUND(Tabla51213112332[[#This Row],[Horas Trabajadas]]*Tabla51213112332[[#This Row],[Tarifas por horas]],0)</f>
        <v>8000</v>
      </c>
      <c r="G77" s="206"/>
      <c r="H77" s="210">
        <f>Tabla51213112332[[#This Row],[Salario Básico]]+Tabla51213112332[[#This Row],[Bonif]]</f>
        <v>8000</v>
      </c>
      <c r="I77" s="208"/>
      <c r="J77" s="209"/>
      <c r="K77" s="207">
        <f>Tabla51213112332[[#This Row],[Sal. Dev]]/24*Tabla51213112332[[#This Row],[Vacaciones]]</f>
        <v>0</v>
      </c>
      <c r="L77" s="210">
        <f>Tabla51213112332[[#This Row],[Sal. Dev]]-Tabla51213112332[[#This Row],[Ausencias]]+Tabla51213112332[[#This Row],[pago x vacaciones]]</f>
        <v>8000</v>
      </c>
      <c r="M77" s="207">
        <f>5%*Tabla51213112332[[#This Row],[Salario Neto]]</f>
        <v>400</v>
      </c>
      <c r="N77" s="206">
        <f t="shared" ref="N77:N91" si="5">(9510-3260)*3%</f>
        <v>187.5</v>
      </c>
      <c r="O77" s="206"/>
      <c r="P77" s="210">
        <f>Tabla51213112332[[#This Row],[Sal. Dev]]-Tabla51213112332[[#This Row],[Ausencias]]+Tabla51213112332[[#This Row],[pago x vacaciones]]-Tabla51213112332[[#This Row],[importe Seg Social]]-Tabla51213112332[[#This Row],[Imp. Sobr. Ing. Per 3% (3260.00-9510.00)]]</f>
        <v>7412.5</v>
      </c>
    </row>
    <row r="78" spans="1:33" ht="93.9" customHeight="1">
      <c r="A78" s="211">
        <v>32</v>
      </c>
      <c r="B78" s="205" t="str">
        <f>VLOOKUP(Tabla51213112332[[#This Row],[No. Exp]],Tabla6[],2)</f>
        <v>Jaila Victoria Vázquez Delgado</v>
      </c>
      <c r="C78" s="212" t="str">
        <f>VLOOKUP(Tabla51213112332[[#This Row],[No. Exp]],Tabla6[],3)</f>
        <v>02100773092</v>
      </c>
      <c r="D78" s="206">
        <f t="shared" ref="D78:D80" si="6">D77</f>
        <v>192</v>
      </c>
      <c r="E78" s="206">
        <f>VLOOKUP(Tabla51213112332[[#This Row],[No. Exp]],Tabla6[],5)</f>
        <v>41.665999999999997</v>
      </c>
      <c r="F78" s="206">
        <f>ROUND(Tabla51213112332[[#This Row],[Horas Trabajadas]]*Tabla51213112332[[#This Row],[Tarifas por horas]],0)</f>
        <v>8000</v>
      </c>
      <c r="G78" s="206"/>
      <c r="H78" s="210">
        <f>Tabla51213112332[[#This Row],[Salario Básico]]+Tabla51213112332[[#This Row],[Bonif]]</f>
        <v>8000</v>
      </c>
      <c r="I78" s="208"/>
      <c r="J78" s="209"/>
      <c r="K78" s="206">
        <f>Tabla51213112332[[#This Row],[Sal. Dev]]/24*Tabla51213112332[[#This Row],[Vacaciones]]</f>
        <v>0</v>
      </c>
      <c r="L78" s="210">
        <f>Tabla51213112332[[#This Row],[Sal. Dev]]-Tabla51213112332[[#This Row],[Ausencias]]+Tabla51213112332[[#This Row],[pago x vacaciones]]</f>
        <v>8000</v>
      </c>
      <c r="M78" s="206">
        <f>5%*Tabla51213112332[[#This Row],[Salario Neto]]</f>
        <v>400</v>
      </c>
      <c r="N78" s="206">
        <f t="shared" si="5"/>
        <v>187.5</v>
      </c>
      <c r="O78" s="206"/>
      <c r="P78" s="210">
        <f>Tabla51213112332[[#This Row],[Sal. Dev]]-Tabla51213112332[[#This Row],[Ausencias]]+Tabla51213112332[[#This Row],[pago x vacaciones]]-Tabla51213112332[[#This Row],[importe Seg Social]]-Tabla51213112332[[#This Row],[Imp. Sobr. Ing. Per 3% (3260.00-9510.00)]]-Tabla51213112332[[#This Row],[Imp. Sobr. Ing. Per 5% (9510.00-15000.00)]]</f>
        <v>7412.5</v>
      </c>
    </row>
    <row r="79" spans="1:33" ht="92.6" customHeight="1">
      <c r="A79" s="211">
        <v>33</v>
      </c>
      <c r="B79" s="205" t="str">
        <f>VLOOKUP(Tabla51213112332[[#This Row],[No. Exp]],Tabla6[],2)</f>
        <v>Daned Montesino Hernández</v>
      </c>
      <c r="C79" s="212" t="str">
        <f>VLOOKUP(Tabla51213112332[[#This Row],[No. Exp]],Tabla6[],3)</f>
        <v>77020101011</v>
      </c>
      <c r="D79" s="206">
        <f t="shared" si="6"/>
        <v>192</v>
      </c>
      <c r="E79" s="206">
        <f>VLOOKUP(Tabla51213112332[[#This Row],[No. Exp]],Tabla6[],5)</f>
        <v>41.665999999999997</v>
      </c>
      <c r="F79" s="206">
        <f>ROUND(Tabla51213112332[[#This Row],[Horas Trabajadas]]*Tabla51213112332[[#This Row],[Tarifas por horas]],0)</f>
        <v>8000</v>
      </c>
      <c r="G79" s="206"/>
      <c r="H79" s="210">
        <f>Tabla51213112332[[#This Row],[Salario Básico]]+Tabla51213112332[[#This Row],[Bonif]]</f>
        <v>8000</v>
      </c>
      <c r="I79" s="213"/>
      <c r="J79" s="209"/>
      <c r="K79" s="206">
        <f>Tabla51213112332[[#This Row],[Sal. Dev]]/24*Tabla51213112332[[#This Row],[Vacaciones]]</f>
        <v>0</v>
      </c>
      <c r="L79" s="210">
        <f>Tabla51213112332[[#This Row],[Sal. Dev]]-Tabla51213112332[[#This Row],[Ausencias]]+Tabla51213112332[[#This Row],[pago x vacaciones]]</f>
        <v>8000</v>
      </c>
      <c r="M79" s="207">
        <f>5%*Tabla51213112332[[#This Row],[Salario Neto]]</f>
        <v>400</v>
      </c>
      <c r="N79" s="206">
        <f t="shared" si="5"/>
        <v>187.5</v>
      </c>
      <c r="O79" s="206"/>
      <c r="P79" s="210">
        <f>Tabla51213112332[[#This Row],[Sal. Dev]]-Tabla51213112332[[#This Row],[Ausencias]]+Tabla51213112332[[#This Row],[pago x vacaciones]]-Tabla51213112332[[#This Row],[importe Seg Social]]-Tabla51213112332[[#This Row],[Imp. Sobr. Ing. Per 3% (3260.00-9510.00)]]</f>
        <v>7412.5</v>
      </c>
    </row>
    <row r="80" spans="1:33" ht="54.9" customHeight="1">
      <c r="A80" s="211">
        <v>34</v>
      </c>
      <c r="B80" s="205" t="str">
        <f>VLOOKUP(Tabla51213112332[[#This Row],[No. Exp]],Tabla6[],2)</f>
        <v>Lia León López</v>
      </c>
      <c r="C80" s="212" t="str">
        <f>VLOOKUP(Tabla51213112332[[#This Row],[No. Exp]],Tabla6[],3)</f>
        <v>02051466891</v>
      </c>
      <c r="D80" s="206">
        <f t="shared" si="6"/>
        <v>192</v>
      </c>
      <c r="E80" s="206">
        <f>VLOOKUP(Tabla51213112332[[#This Row],[No. Exp]],Tabla6[],5)</f>
        <v>41.665999999999997</v>
      </c>
      <c r="F80" s="206">
        <f>ROUND(Tabla51213112332[[#This Row],[Horas Trabajadas]]*Tabla51213112332[[#This Row],[Tarifas por horas]],0)</f>
        <v>8000</v>
      </c>
      <c r="G80" s="206"/>
      <c r="H80" s="210">
        <f>Tabla51213112332[[#This Row],[Salario Básico]]+Tabla51213112332[[#This Row],[Bonif]]</f>
        <v>8000</v>
      </c>
      <c r="I80" s="213"/>
      <c r="J80" s="209"/>
      <c r="K80" s="206">
        <f>Tabla51213112332[[#This Row],[Sal. Dev]]/24*Tabla51213112332[[#This Row],[Vacaciones]]</f>
        <v>0</v>
      </c>
      <c r="L80" s="210">
        <f>Tabla51213112332[[#This Row],[Sal. Dev]]-Tabla51213112332[[#This Row],[Ausencias]]+Tabla51213112332[[#This Row],[pago x vacaciones]]</f>
        <v>8000</v>
      </c>
      <c r="M80" s="206">
        <f>5%*Tabla51213112332[[#This Row],[Salario Neto]]</f>
        <v>400</v>
      </c>
      <c r="N80" s="206">
        <f t="shared" si="5"/>
        <v>187.5</v>
      </c>
      <c r="O80" s="206"/>
      <c r="P80" s="210">
        <f>Tabla51213112332[[#This Row],[Sal. Dev]]-Tabla51213112332[[#This Row],[Ausencias]]+Tabla51213112332[[#This Row],[pago x vacaciones]]-Tabla51213112332[[#This Row],[importe Seg Social]]-Tabla51213112332[[#This Row],[Imp. Sobr. Ing. Per 3% (3260.00-9510.00)]]-Tabla51213112332[[#This Row],[Imp. Sobr. Ing. Per 5% (9510.00-15000.00)]]</f>
        <v>7412.5</v>
      </c>
    </row>
    <row r="81" spans="1:16" ht="70.75" customHeight="1">
      <c r="A81" s="211">
        <v>36</v>
      </c>
      <c r="B81" s="205" t="str">
        <f>VLOOKUP(Tabla51213112332[[#This Row],[No. Exp]],Tabla6[],2)</f>
        <v>Janet Martínez Rodríguez</v>
      </c>
      <c r="C81" s="212">
        <f>VLOOKUP(Tabla51213112332[[#This Row],[No. Exp]],Tabla6[],3)</f>
        <v>76120900718</v>
      </c>
      <c r="D81" s="206">
        <v>192</v>
      </c>
      <c r="E81" s="206">
        <f>VLOOKUP(Tabla51213112332[[#This Row],[No. Exp]],Tabla6[],5)</f>
        <v>41.665999999999997</v>
      </c>
      <c r="F81" s="206">
        <f>ROUND(Tabla51213112332[[#This Row],[Horas Trabajadas]]*Tabla51213112332[[#This Row],[Tarifas por horas]],0)</f>
        <v>8000</v>
      </c>
      <c r="G81" s="206"/>
      <c r="H81" s="210">
        <f>Tabla51213112332[[#This Row],[Salario Básico]]+Tabla51213112332[[#This Row],[Bonif]]</f>
        <v>8000</v>
      </c>
      <c r="I81" s="213"/>
      <c r="J81" s="209"/>
      <c r="K81" s="207">
        <f>Tabla51213112332[[#This Row],[Sal. Dev]]/24*Tabla51213112332[[#This Row],[Vacaciones]]</f>
        <v>0</v>
      </c>
      <c r="L81" s="210">
        <f>Tabla51213112332[[#This Row],[Sal. Dev]]-Tabla51213112332[[#This Row],[Ausencias]]+Tabla51213112332[[#This Row],[pago x vacaciones]]</f>
        <v>8000</v>
      </c>
      <c r="M81" s="207">
        <f>5%*Tabla51213112332[[#This Row],[Salario Neto]]</f>
        <v>400</v>
      </c>
      <c r="N81" s="206">
        <f t="shared" si="5"/>
        <v>187.5</v>
      </c>
      <c r="O81" s="206"/>
      <c r="P81" s="210">
        <f>Tabla51213112332[[#This Row],[Sal. Dev]]-Tabla51213112332[[#This Row],[Ausencias]]+Tabla51213112332[[#This Row],[pago x vacaciones]]-Tabla51213112332[[#This Row],[importe Seg Social]]-Tabla51213112332[[#This Row],[Imp. Sobr. Ing. Per 3% (3260.00-9510.00)]]</f>
        <v>7412.5</v>
      </c>
    </row>
    <row r="82" spans="1:16" ht="72.45" customHeight="1">
      <c r="A82" s="211">
        <v>39</v>
      </c>
      <c r="B82" s="205" t="str">
        <f>VLOOKUP(Tabla51213112332[[#This Row],[No. Exp]],Tabla6[],2)</f>
        <v>Elizabeth Hernández González</v>
      </c>
      <c r="C82" s="212">
        <f>VLOOKUP(Tabla51213112332[[#This Row],[No. Exp]],Tabla6[],3)</f>
        <v>95111328273</v>
      </c>
      <c r="D82" s="206">
        <v>192</v>
      </c>
      <c r="E82" s="206">
        <f>VLOOKUP(Tabla51213112332[[#This Row],[No. Exp]],Tabla6[],5)</f>
        <v>41.665999999999997</v>
      </c>
      <c r="F82" s="206">
        <f>ROUND(Tabla51213112332[[#This Row],[Horas Trabajadas]]*Tabla51213112332[[#This Row],[Tarifas por horas]],0)</f>
        <v>8000</v>
      </c>
      <c r="G82" s="206"/>
      <c r="H82" s="210">
        <f>Tabla51213112332[[#This Row],[Salario Básico]]+Tabla51213112332[[#This Row],[Bonif]]</f>
        <v>8000</v>
      </c>
      <c r="I82" s="213"/>
      <c r="J82" s="209"/>
      <c r="K82" s="207">
        <f>Tabla51213112332[[#This Row],[Sal. Dev]]/24*Tabla51213112332[[#This Row],[Vacaciones]]</f>
        <v>0</v>
      </c>
      <c r="L82" s="210">
        <f>Tabla51213112332[[#This Row],[Sal. Dev]]-Tabla51213112332[[#This Row],[Ausencias]]+Tabla51213112332[[#This Row],[pago x vacaciones]]</f>
        <v>8000</v>
      </c>
      <c r="M82" s="207">
        <f>5%*Tabla51213112332[[#This Row],[Salario Neto]]</f>
        <v>400</v>
      </c>
      <c r="N82" s="206">
        <f t="shared" si="5"/>
        <v>187.5</v>
      </c>
      <c r="O82" s="206"/>
      <c r="P82" s="210">
        <f>Tabla51213112332[[#This Row],[Sal. Dev]]-Tabla51213112332[[#This Row],[Ausencias]]+Tabla51213112332[[#This Row],[pago x vacaciones]]-Tabla51213112332[[#This Row],[importe Seg Social]]-Tabla51213112332[[#This Row],[Imp. Sobr. Ing. Per 3% (3260.00-9510.00)]]</f>
        <v>7412.5</v>
      </c>
    </row>
    <row r="83" spans="1:16" ht="78" customHeight="1">
      <c r="A83" s="211">
        <v>40</v>
      </c>
      <c r="B83" s="205" t="str">
        <f>VLOOKUP(Tabla51213112332[[#This Row],[No. Exp]],Tabla6[],2)</f>
        <v xml:space="preserve">Yunet de la Caridad Sotelo Porto </v>
      </c>
      <c r="C83" s="212" t="str">
        <f>VLOOKUP(Tabla51213112332[[#This Row],[No. Exp]],Tabla6[],3)</f>
        <v>85032505213</v>
      </c>
      <c r="D83" s="206">
        <v>192</v>
      </c>
      <c r="E83" s="206">
        <f>VLOOKUP(Tabla51213112332[[#This Row],[No. Exp]],Tabla6[],5)</f>
        <v>41.665999999999997</v>
      </c>
      <c r="F83" s="206">
        <f>ROUND(Tabla51213112332[[#This Row],[Horas Trabajadas]]*Tabla51213112332[[#This Row],[Tarifas por horas]],0)</f>
        <v>8000</v>
      </c>
      <c r="G83" s="206"/>
      <c r="H83" s="210">
        <f>Tabla51213112332[[#This Row],[Salario Básico]]+Tabla51213112332[[#This Row],[Bonif]]</f>
        <v>8000</v>
      </c>
      <c r="I83" s="213"/>
      <c r="J83" s="209"/>
      <c r="K83" s="207">
        <f>Tabla51213112332[[#This Row],[Sal. Dev]]/24*Tabla51213112332[[#This Row],[Vacaciones]]</f>
        <v>0</v>
      </c>
      <c r="L83" s="210">
        <f>Tabla51213112332[[#This Row],[Sal. Dev]]-Tabla51213112332[[#This Row],[Ausencias]]+Tabla51213112332[[#This Row],[pago x vacaciones]]</f>
        <v>8000</v>
      </c>
      <c r="M83" s="207">
        <f>5%*Tabla51213112332[[#This Row],[Salario Neto]]</f>
        <v>400</v>
      </c>
      <c r="N83" s="206">
        <f t="shared" si="5"/>
        <v>187.5</v>
      </c>
      <c r="O83" s="206"/>
      <c r="P83" s="210">
        <f>Tabla51213112332[[#This Row],[Sal. Dev]]-Tabla51213112332[[#This Row],[Ausencias]]+Tabla51213112332[[#This Row],[pago x vacaciones]]-Tabla51213112332[[#This Row],[importe Seg Social]]-Tabla51213112332[[#This Row],[Imp. Sobr. Ing. Per 3% (3260.00-9510.00)]]</f>
        <v>7412.5</v>
      </c>
    </row>
    <row r="84" spans="1:16" ht="61.3" customHeight="1">
      <c r="A84" s="211">
        <v>42</v>
      </c>
      <c r="B84" s="205" t="str">
        <f>VLOOKUP(Tabla51213112332[[#This Row],[No. Exp]],Tabla6[],2)</f>
        <v>Laura Lobaina Llera</v>
      </c>
      <c r="C84" s="212" t="str">
        <f>VLOOKUP(Tabla51213112332[[#This Row],[No. Exp]],Tabla6[],3)</f>
        <v>95092328970</v>
      </c>
      <c r="D84" s="206">
        <v>192</v>
      </c>
      <c r="E84" s="206">
        <f>VLOOKUP(Tabla51213112332[[#This Row],[No. Exp]],Tabla6[],5)</f>
        <v>41.665999999999997</v>
      </c>
      <c r="F84" s="206">
        <f>ROUND(Tabla51213112332[[#This Row],[Horas Trabajadas]]*Tabla51213112332[[#This Row],[Tarifas por horas]],0)</f>
        <v>8000</v>
      </c>
      <c r="G84" s="206"/>
      <c r="H84" s="210">
        <f>Tabla51213112332[[#This Row],[Salario Básico]]+Tabla51213112332[[#This Row],[Bonif]]</f>
        <v>8000</v>
      </c>
      <c r="I84" s="213"/>
      <c r="J84" s="209"/>
      <c r="K84" s="207" cm="1">
        <f t="array" ref="K84">MMULT(Tabla51213112332[[#This Row],[Tarifas por horas]],8)*Tabla51213112332[[#This Row],[Vacaciones]]</f>
        <v>0</v>
      </c>
      <c r="L84" s="210">
        <f>Tabla51213112332[[#This Row],[Sal. Dev]]-Tabla51213112332[[#This Row],[Ausencias]]+Tabla51213112332[[#This Row],[pago x vacaciones]]</f>
        <v>8000</v>
      </c>
      <c r="M84" s="207">
        <f>5%*Tabla51213112332[[#This Row],[Salario Neto]]</f>
        <v>400</v>
      </c>
      <c r="N84" s="206">
        <f t="shared" si="5"/>
        <v>187.5</v>
      </c>
      <c r="O84" s="206"/>
      <c r="P84" s="210">
        <f>Tabla51213112332[[#This Row],[Sal. Dev]]-Tabla51213112332[[#This Row],[Ausencias]]+Tabla51213112332[[#This Row],[pago x vacaciones]]-Tabla51213112332[[#This Row],[importe Seg Social]]-Tabla51213112332[[#This Row],[Imp. Sobr. Ing. Per 3% (3260.00-9510.00)]]</f>
        <v>7412.5</v>
      </c>
    </row>
    <row r="85" spans="1:16" ht="61.75" customHeight="1">
      <c r="A85" s="211">
        <v>47</v>
      </c>
      <c r="B85" s="205" t="str">
        <f>VLOOKUP(Tabla51213112332[[#This Row],[No. Exp]],Tabla6[],2)</f>
        <v xml:space="preserve">Sheila González Tuero </v>
      </c>
      <c r="C85" s="212">
        <f>VLOOKUP(Tabla51213112332[[#This Row],[No. Exp]],Tabla6[],3)</f>
        <v>94111928919</v>
      </c>
      <c r="D85" s="206">
        <v>192</v>
      </c>
      <c r="E85" s="206">
        <f>VLOOKUP(Tabla51213112332[[#This Row],[No. Exp]],Tabla6[],5)</f>
        <v>41.665999999999997</v>
      </c>
      <c r="F85" s="206">
        <f>ROUND(Tabla51213112332[[#This Row],[Horas Trabajadas]]*Tabla51213112332[[#This Row],[Tarifas por horas]],0)</f>
        <v>8000</v>
      </c>
      <c r="G85" s="206"/>
      <c r="H85" s="210">
        <f>Tabla51213112332[[#This Row],[Salario Básico]]+Tabla51213112332[[#This Row],[Bonif]]</f>
        <v>8000</v>
      </c>
      <c r="I85" s="213"/>
      <c r="J85" s="209"/>
      <c r="K85" s="207" cm="1">
        <f t="array" ref="K85">MMULT(Tabla51213112332[[#This Row],[Tarifas por horas]],8)*Tabla51213112332[[#This Row],[Vacaciones]]</f>
        <v>0</v>
      </c>
      <c r="L85" s="210">
        <f>Tabla51213112332[[#This Row],[Sal. Dev]]-Tabla51213112332[[#This Row],[Ausencias]]+Tabla51213112332[[#This Row],[pago x vacaciones]]</f>
        <v>8000</v>
      </c>
      <c r="M85" s="207">
        <f>5%*Tabla51213112332[[#This Row],[Salario Neto]]</f>
        <v>400</v>
      </c>
      <c r="N85" s="206">
        <f t="shared" si="5"/>
        <v>187.5</v>
      </c>
      <c r="O85" s="206"/>
      <c r="P85" s="210">
        <f>Tabla51213112332[[#This Row],[Sal. Dev]]-Tabla51213112332[[#This Row],[Ausencias]]+Tabla51213112332[[#This Row],[pago x vacaciones]]-Tabla51213112332[[#This Row],[importe Seg Social]]-Tabla51213112332[[#This Row],[Imp. Sobr. Ing. Per 3% (3260.00-9510.00)]]</f>
        <v>7412.5</v>
      </c>
    </row>
    <row r="86" spans="1:16" ht="61.75" customHeight="1">
      <c r="A86" s="211">
        <v>48</v>
      </c>
      <c r="B86" s="205" t="str">
        <f>VLOOKUP(Tabla51213112332[[#This Row],[No. Exp]],Tabla6[],2)</f>
        <v>Onel Angel Martínez López</v>
      </c>
      <c r="C86" s="212" t="str">
        <f>VLOOKUP(Tabla51213112332[[#This Row],[No. Exp]],Tabla6[],3)</f>
        <v>99081600501</v>
      </c>
      <c r="D86" s="206">
        <v>192</v>
      </c>
      <c r="E86" s="206">
        <f>VLOOKUP(Tabla51213112332[[#This Row],[No. Exp]],Tabla6[],5)</f>
        <v>41.665999999999997</v>
      </c>
      <c r="F86" s="206">
        <f>ROUND(Tabla51213112332[[#This Row],[Horas Trabajadas]]*Tabla51213112332[[#This Row],[Tarifas por horas]],0)</f>
        <v>8000</v>
      </c>
      <c r="G86" s="206"/>
      <c r="H86" s="210">
        <f>Tabla51213112332[[#This Row],[Salario Básico]]+Tabla51213112332[[#This Row],[Bonif]]</f>
        <v>8000</v>
      </c>
      <c r="I86" s="213"/>
      <c r="J86" s="209"/>
      <c r="K86" s="207" cm="1">
        <f t="array" ref="K86">MMULT(Tabla51213112332[[#This Row],[Tarifas por horas]],8)*Tabla51213112332[[#This Row],[Vacaciones]]</f>
        <v>0</v>
      </c>
      <c r="L86" s="210">
        <f>Tabla51213112332[[#This Row],[Sal. Dev]]-Tabla51213112332[[#This Row],[Ausencias]]+Tabla51213112332[[#This Row],[pago x vacaciones]]</f>
        <v>8000</v>
      </c>
      <c r="M86" s="207">
        <f>5%*Tabla51213112332[[#This Row],[Salario Neto]]</f>
        <v>400</v>
      </c>
      <c r="N86" s="206">
        <f t="shared" si="5"/>
        <v>187.5</v>
      </c>
      <c r="O86" s="206"/>
      <c r="P86" s="210">
        <f>Tabla51213112332[[#This Row],[Sal. Dev]]-Tabla51213112332[[#This Row],[Ausencias]]+Tabla51213112332[[#This Row],[pago x vacaciones]]-Tabla51213112332[[#This Row],[importe Seg Social]]-Tabla51213112332[[#This Row],[Imp. Sobr. Ing. Per 3% (3260.00-9510.00)]]</f>
        <v>7412.5</v>
      </c>
    </row>
    <row r="87" spans="1:16" ht="66.900000000000006" customHeight="1">
      <c r="A87" s="211">
        <v>49</v>
      </c>
      <c r="B87" s="205" t="str">
        <f>VLOOKUP(Tabla51213112332[[#This Row],[No. Exp]],Tabla6[],2)</f>
        <v>Abraham Rodríguez Colina</v>
      </c>
      <c r="C87" s="212" t="str">
        <f>VLOOKUP(Tabla51213112332[[#This Row],[No. Exp]],Tabla6[],3)</f>
        <v>97051407323</v>
      </c>
      <c r="D87" s="206">
        <v>192</v>
      </c>
      <c r="E87" s="206">
        <f>VLOOKUP(Tabla51213112332[[#This Row],[No. Exp]],Tabla6[],5)</f>
        <v>41.665999999999997</v>
      </c>
      <c r="F87" s="206">
        <f>ROUND(Tabla51213112332[[#This Row],[Horas Trabajadas]]*Tabla51213112332[[#This Row],[Tarifas por horas]],0)</f>
        <v>8000</v>
      </c>
      <c r="G87" s="206"/>
      <c r="H87" s="210">
        <f>Tabla51213112332[[#This Row],[Salario Básico]]+Tabla51213112332[[#This Row],[Bonif]]</f>
        <v>8000</v>
      </c>
      <c r="I87" s="213"/>
      <c r="J87" s="209"/>
      <c r="K87" s="207" cm="1">
        <f t="array" ref="K87">MMULT(Tabla51213112332[[#This Row],[Tarifas por horas]],8)*Tabla51213112332[[#This Row],[Vacaciones]]</f>
        <v>0</v>
      </c>
      <c r="L87" s="210">
        <f>Tabla51213112332[[#This Row],[Sal. Dev]]-Tabla51213112332[[#This Row],[Ausencias]]+Tabla51213112332[[#This Row],[pago x vacaciones]]</f>
        <v>8000</v>
      </c>
      <c r="M87" s="207">
        <f>5%*Tabla51213112332[[#This Row],[Salario Neto]]</f>
        <v>400</v>
      </c>
      <c r="N87" s="206">
        <f t="shared" si="5"/>
        <v>187.5</v>
      </c>
      <c r="O87" s="206"/>
      <c r="P87" s="210">
        <f>Tabla51213112332[[#This Row],[Sal. Dev]]-Tabla51213112332[[#This Row],[Ausencias]]+Tabla51213112332[[#This Row],[pago x vacaciones]]-Tabla51213112332[[#This Row],[importe Seg Social]]-Tabla51213112332[[#This Row],[Imp. Sobr. Ing. Per 3% (3260.00-9510.00)]]</f>
        <v>7412.5</v>
      </c>
    </row>
    <row r="88" spans="1:16" ht="70.75" customHeight="1">
      <c r="A88" s="204">
        <v>93</v>
      </c>
      <c r="B88" s="205" t="str">
        <f>VLOOKUP(Tabla51213112332[[#This Row],[No. Exp]],Tabla6[],2)</f>
        <v>Zaily Cruz Sánchez</v>
      </c>
      <c r="C88" s="212">
        <f>VLOOKUP(Tabla51213112332[[#This Row],[No. Exp]],Tabla6[],3)</f>
        <v>97042206435</v>
      </c>
      <c r="D88" s="206">
        <v>192</v>
      </c>
      <c r="E88" s="206">
        <f>VLOOKUP(Tabla51213112332[[#This Row],[No. Exp]],Tabla6[],5)</f>
        <v>41.665999999999997</v>
      </c>
      <c r="F88" s="206">
        <f>ROUND(Tabla51213112332[[#This Row],[Horas Trabajadas]]*Tabla51213112332[[#This Row],[Tarifas por horas]],0)</f>
        <v>8000</v>
      </c>
      <c r="G88" s="206"/>
      <c r="H88" s="210">
        <f>Tabla51213112332[[#This Row],[Salario Básico]]+Tabla51213112332[[#This Row],[Bonif]]</f>
        <v>8000</v>
      </c>
      <c r="I88" s="213"/>
      <c r="J88" s="209"/>
      <c r="K88" s="207" cm="1">
        <f t="array" ref="K88">MMULT(Tabla51213112332[[#This Row],[Tarifas por horas]],8)*Tabla51213112332[[#This Row],[Vacaciones]]</f>
        <v>0</v>
      </c>
      <c r="L88" s="210">
        <f>Tabla51213112332[[#This Row],[Sal. Dev]]-Tabla51213112332[[#This Row],[Ausencias]]+Tabla51213112332[[#This Row],[pago x vacaciones]]</f>
        <v>8000</v>
      </c>
      <c r="M88" s="207">
        <f>5%*Tabla51213112332[[#This Row],[Salario Neto]]</f>
        <v>400</v>
      </c>
      <c r="N88" s="206">
        <f t="shared" si="5"/>
        <v>187.5</v>
      </c>
      <c r="O88" s="206"/>
      <c r="P88" s="210">
        <f>Tabla51213112332[[#This Row],[Sal. Dev]]-Tabla51213112332[[#This Row],[Ausencias]]+Tabla51213112332[[#This Row],[pago x vacaciones]]-Tabla51213112332[[#This Row],[importe Seg Social]]-Tabla51213112332[[#This Row],[Imp. Sobr. Ing. Per 3% (3260.00-9510.00)]]</f>
        <v>7412.5</v>
      </c>
    </row>
    <row r="89" spans="1:16" ht="59.15" customHeight="1">
      <c r="A89" s="204">
        <v>122</v>
      </c>
      <c r="B89" s="205" t="str">
        <f>VLOOKUP(Tabla51213112332[[#This Row],[No. Exp]],Tabla6[],2)</f>
        <v xml:space="preserve">Ivis Arcos Gutiérrez  </v>
      </c>
      <c r="C89" s="212">
        <f>VLOOKUP(Tabla51213112332[[#This Row],[No. Exp]],Tabla6[],3)</f>
        <v>98071806091</v>
      </c>
      <c r="D89" s="206">
        <v>192</v>
      </c>
      <c r="E89" s="206">
        <f>VLOOKUP(Tabla51213112332[[#This Row],[No. Exp]],Tabla6[],5)</f>
        <v>41.665999999999997</v>
      </c>
      <c r="F89" s="206">
        <f>ROUND(Tabla51213112332[[#This Row],[Horas Trabajadas]]*Tabla51213112332[[#This Row],[Tarifas por horas]],0)</f>
        <v>8000</v>
      </c>
      <c r="G89" s="206"/>
      <c r="H89" s="210">
        <f>Tabla51213112332[[#This Row],[Salario Básico]]+Tabla51213112332[[#This Row],[Bonif]]</f>
        <v>8000</v>
      </c>
      <c r="I89" s="213"/>
      <c r="J89" s="209"/>
      <c r="K89" s="207" cm="1">
        <f t="array" ref="K89">MMULT(Tabla51213112332[[#This Row],[Tarifas por horas]],8)*Tabla51213112332[[#This Row],[Vacaciones]]</f>
        <v>0</v>
      </c>
      <c r="L89" s="388">
        <f>Tabla51213112332[[#This Row],[Sal. Dev]]-Tabla51213112332[[#This Row],[Ausencias]]+Tabla51213112332[[#This Row],[pago x vacaciones]]</f>
        <v>8000</v>
      </c>
      <c r="M89" s="207">
        <f>5%*Tabla51213112332[[#This Row],[Salario Neto]]</f>
        <v>400</v>
      </c>
      <c r="N89" s="206">
        <f t="shared" si="5"/>
        <v>187.5</v>
      </c>
      <c r="O89" s="206"/>
      <c r="P89" s="210">
        <f>Tabla51213112332[[#This Row],[Sal. Dev]]-Tabla51213112332[[#This Row],[Ausencias]]+Tabla51213112332[[#This Row],[pago x vacaciones]]-Tabla51213112332[[#This Row],[importe Seg Social]]-Tabla51213112332[[#This Row],[Imp. Sobr. Ing. Per 3% (3260.00-9510.00)]]-Tabla51213112332[[#This Row],[Imp. Sobr. Ing. Per 5% (9510.00-15000.00)]]</f>
        <v>7412.5</v>
      </c>
    </row>
    <row r="90" spans="1:16" ht="64.3" customHeight="1">
      <c r="A90" s="204">
        <v>119</v>
      </c>
      <c r="B90" s="205" t="str">
        <f>VLOOKUP(Tabla51213112332[[#This Row],[No. Exp]],Tabla6[],2)</f>
        <v>Laurin Susana Castillo Ramirez</v>
      </c>
      <c r="C90" s="212" t="str">
        <f>VLOOKUP(Tabla51213112332[[#This Row],[No. Exp]],Tabla6[],3)</f>
        <v>02100662657</v>
      </c>
      <c r="D90" s="206">
        <v>192</v>
      </c>
      <c r="E90" s="206">
        <f>VLOOKUP(Tabla51213112332[[#This Row],[No. Exp]],Tabla6[],5)</f>
        <v>41.665999999999997</v>
      </c>
      <c r="F90" s="206">
        <f>ROUND(Tabla51213112332[[#This Row],[Horas Trabajadas]]*Tabla51213112332[[#This Row],[Tarifas por horas]],0)</f>
        <v>8000</v>
      </c>
      <c r="G90" s="206"/>
      <c r="H90" s="210">
        <f>Tabla51213112332[[#This Row],[Salario Básico]]+Tabla51213112332[[#This Row],[Bonif]]</f>
        <v>8000</v>
      </c>
      <c r="I90" s="213"/>
      <c r="J90" s="209"/>
      <c r="K90" s="207" cm="1">
        <f t="array" ref="K90">MMULT(Tabla51213112332[[#This Row],[Tarifas por horas]],8)*Tabla51213112332[[#This Row],[Vacaciones]]</f>
        <v>0</v>
      </c>
      <c r="L90" s="388">
        <f>Tabla51213112332[[#This Row],[Sal. Dev]]-Tabla51213112332[[#This Row],[Ausencias]]+Tabla51213112332[[#This Row],[pago x vacaciones]]</f>
        <v>8000</v>
      </c>
      <c r="M90" s="207">
        <f>5%*Tabla51213112332[[#This Row],[Salario Neto]]</f>
        <v>400</v>
      </c>
      <c r="N90" s="206">
        <f t="shared" si="5"/>
        <v>187.5</v>
      </c>
      <c r="O90" s="206"/>
      <c r="P90" s="210">
        <f>Tabla51213112332[[#This Row],[Sal. Dev]]-Tabla51213112332[[#This Row],[Ausencias]]+Tabla51213112332[[#This Row],[pago x vacaciones]]-Tabla51213112332[[#This Row],[importe Seg Social]]-Tabla51213112332[[#This Row],[Imp. Sobr. Ing. Per 3% (3260.00-9510.00)]]</f>
        <v>7412.5</v>
      </c>
    </row>
    <row r="91" spans="1:16" ht="66.900000000000006" customHeight="1">
      <c r="A91" s="204">
        <v>112</v>
      </c>
      <c r="B91" s="205" t="str">
        <f>VLOOKUP(Tabla51213112332[[#This Row],[No. Exp]],Tabla6[],2)</f>
        <v>Patricia Rodríguez Campa</v>
      </c>
      <c r="C91" s="212">
        <f>VLOOKUP(Tabla51213112332[[#This Row],[No. Exp]],Tabla6[],3)</f>
        <v>97122108676</v>
      </c>
      <c r="D91" s="206">
        <v>192</v>
      </c>
      <c r="E91" s="206">
        <f>VLOOKUP(Tabla51213112332[[#This Row],[No. Exp]],Tabla6[],5)</f>
        <v>41.665999999999997</v>
      </c>
      <c r="F91" s="206">
        <f>ROUND(Tabla51213112332[[#This Row],[Horas Trabajadas]]*Tabla51213112332[[#This Row],[Tarifas por horas]],0)</f>
        <v>8000</v>
      </c>
      <c r="G91" s="206"/>
      <c r="H91" s="210">
        <f>Tabla51213112332[[#This Row],[Salario Básico]]+Tabla51213112332[[#This Row],[Bonif]]</f>
        <v>8000</v>
      </c>
      <c r="I91" s="213"/>
      <c r="J91" s="209"/>
      <c r="K91" s="207" cm="1">
        <f t="array" ref="K91">MMULT(Tabla51213112332[[#This Row],[Tarifas por horas]],8)*Tabla51213112332[[#This Row],[Vacaciones]]</f>
        <v>0</v>
      </c>
      <c r="L91" s="388">
        <f>Tabla51213112332[[#This Row],[Sal. Dev]]-Tabla51213112332[[#This Row],[Ausencias]]+Tabla51213112332[[#This Row],[pago x vacaciones]]</f>
        <v>8000</v>
      </c>
      <c r="M91" s="207">
        <f>5%*Tabla51213112332[[#This Row],[Salario Neto]]</f>
        <v>400</v>
      </c>
      <c r="N91" s="206">
        <f t="shared" si="5"/>
        <v>187.5</v>
      </c>
      <c r="O91" s="206"/>
      <c r="P91" s="210">
        <f>Tabla51213112332[[#This Row],[Sal. Dev]]-Tabla51213112332[[#This Row],[Ausencias]]+Tabla51213112332[[#This Row],[pago x vacaciones]]-Tabla51213112332[[#This Row],[importe Seg Social]]-Tabla51213112332[[#This Row],[Imp. Sobr. Ing. Per 3% (3260.00-9510.00)]]</f>
        <v>7412.5</v>
      </c>
    </row>
    <row r="92" spans="1:16">
      <c r="A92" s="197"/>
      <c r="B92" s="188"/>
      <c r="C92" s="181"/>
      <c r="D92" s="191"/>
      <c r="E92" s="191"/>
      <c r="F92" s="188"/>
      <c r="G92" s="188"/>
      <c r="H92" s="192"/>
      <c r="I92" s="174"/>
      <c r="J92" s="180"/>
      <c r="K92" s="188"/>
      <c r="L92" s="192"/>
      <c r="M92" s="188"/>
      <c r="N92" s="191"/>
      <c r="O92" s="196"/>
      <c r="P92" s="174"/>
    </row>
    <row r="93" spans="1:16">
      <c r="A93" s="142"/>
      <c r="B93" s="148"/>
      <c r="C93" s="141"/>
      <c r="D93" s="149"/>
      <c r="E93" s="149"/>
      <c r="F93" s="148"/>
      <c r="G93" s="148"/>
      <c r="H93" s="150"/>
      <c r="J93" s="143"/>
      <c r="K93" s="148"/>
      <c r="L93" s="157"/>
      <c r="M93" s="148"/>
      <c r="N93" s="149"/>
      <c r="O93" s="151"/>
    </row>
    <row r="94" spans="1:16">
      <c r="A94" s="142"/>
      <c r="B94" s="148"/>
      <c r="C94" s="141"/>
      <c r="D94" s="149"/>
      <c r="E94" s="149"/>
      <c r="F94" s="148"/>
      <c r="G94" s="148"/>
      <c r="H94" s="150"/>
      <c r="J94" s="143"/>
      <c r="K94" s="148"/>
      <c r="L94" s="157"/>
      <c r="M94" s="148"/>
      <c r="N94" s="149"/>
      <c r="O94" s="151"/>
    </row>
    <row r="95" spans="1:16" ht="30" customHeight="1">
      <c r="A95" s="142"/>
      <c r="B95" s="466"/>
      <c r="C95" s="466"/>
      <c r="D95" s="149"/>
      <c r="E95" s="149"/>
      <c r="F95" s="148"/>
      <c r="G95" s="148"/>
      <c r="H95" s="150"/>
      <c r="J95" s="143"/>
      <c r="K95" s="148"/>
      <c r="L95" s="157"/>
      <c r="M95" s="148"/>
      <c r="N95" s="149"/>
      <c r="O95" s="151"/>
    </row>
    <row r="96" spans="1:16">
      <c r="A96" s="142"/>
      <c r="D96" s="149"/>
      <c r="E96" s="149"/>
      <c r="F96" s="148"/>
      <c r="G96" s="148"/>
      <c r="H96" s="150"/>
      <c r="J96" s="143"/>
      <c r="K96" s="148"/>
      <c r="L96" s="157"/>
      <c r="M96" s="148"/>
      <c r="N96" s="149"/>
      <c r="O96" s="151"/>
    </row>
    <row r="97" spans="1:16" ht="33.450000000000003">
      <c r="A97" s="142"/>
      <c r="B97" s="168"/>
      <c r="C97" s="169"/>
      <c r="D97" s="149"/>
      <c r="E97" s="149"/>
      <c r="F97" s="148"/>
      <c r="G97" s="148"/>
      <c r="H97" s="150"/>
      <c r="J97" s="143"/>
      <c r="K97" s="148"/>
      <c r="L97" s="157"/>
      <c r="M97" s="148"/>
      <c r="N97" s="149"/>
      <c r="O97" s="151"/>
    </row>
    <row r="98" spans="1:16" ht="33.450000000000003">
      <c r="A98" s="142"/>
      <c r="B98" s="168"/>
      <c r="C98" s="169"/>
      <c r="D98" s="149"/>
      <c r="E98" s="149"/>
      <c r="F98" s="148"/>
      <c r="G98" s="148"/>
      <c r="H98" s="150"/>
      <c r="J98" s="143"/>
      <c r="K98" s="148"/>
      <c r="L98" s="157"/>
      <c r="M98" s="148"/>
      <c r="N98" s="149"/>
      <c r="O98" s="151"/>
    </row>
    <row r="99" spans="1:16" ht="33.450000000000003">
      <c r="A99" s="142"/>
      <c r="B99" s="467" t="s">
        <v>204</v>
      </c>
      <c r="C99" s="468"/>
      <c r="D99" s="149"/>
      <c r="E99" s="149"/>
      <c r="F99" s="148"/>
      <c r="G99" s="148"/>
      <c r="H99" s="150"/>
      <c r="J99" s="143"/>
      <c r="K99" s="148"/>
      <c r="L99" s="157"/>
      <c r="M99" s="148"/>
      <c r="N99" s="149"/>
      <c r="O99" s="151"/>
    </row>
    <row r="100" spans="1:16" ht="33.450000000000003">
      <c r="A100" s="142"/>
      <c r="B100" s="168"/>
      <c r="C100" s="169"/>
      <c r="D100" s="149"/>
      <c r="E100" s="149"/>
      <c r="F100" s="148"/>
      <c r="G100" s="148"/>
      <c r="H100" s="150"/>
      <c r="J100" s="143"/>
      <c r="K100" s="148"/>
      <c r="L100" s="157"/>
      <c r="M100" s="148"/>
      <c r="N100" s="149"/>
      <c r="O100" s="151"/>
    </row>
    <row r="101" spans="1:16">
      <c r="A101" s="142"/>
      <c r="B101" s="148"/>
      <c r="C101" s="141"/>
      <c r="D101" s="149"/>
      <c r="E101" s="149"/>
      <c r="F101" s="148"/>
      <c r="G101" s="148"/>
      <c r="H101" s="150"/>
      <c r="J101" s="143"/>
      <c r="K101" s="148"/>
      <c r="L101" s="157"/>
      <c r="M101" s="148"/>
      <c r="N101" s="149"/>
      <c r="O101" s="151"/>
    </row>
    <row r="102" spans="1:16">
      <c r="A102" s="148"/>
      <c r="B102" s="148"/>
      <c r="C102" s="148"/>
      <c r="D102" s="141"/>
      <c r="E102" s="149"/>
      <c r="F102" s="149"/>
      <c r="G102" s="148"/>
      <c r="H102" s="148"/>
      <c r="I102" s="150"/>
      <c r="L102" s="141"/>
      <c r="M102" s="141"/>
      <c r="N102" s="141"/>
    </row>
    <row r="103" spans="1:16" ht="45.45">
      <c r="A103" s="459" t="s">
        <v>0</v>
      </c>
      <c r="B103" s="459"/>
      <c r="C103" s="180"/>
      <c r="D103" s="180"/>
      <c r="E103" s="174"/>
      <c r="F103" s="174"/>
      <c r="G103" s="174"/>
      <c r="H103" s="174"/>
      <c r="I103" s="189" t="s">
        <v>1</v>
      </c>
      <c r="J103" s="189" t="s">
        <v>2</v>
      </c>
      <c r="K103" s="269">
        <f>K70</f>
        <v>45901</v>
      </c>
      <c r="L103" s="270" t="s">
        <v>3</v>
      </c>
      <c r="M103" s="269">
        <f>M70</f>
        <v>45930</v>
      </c>
      <c r="N103" s="181"/>
      <c r="O103" s="174"/>
      <c r="P103" s="174"/>
    </row>
    <row r="104" spans="1:16" ht="27.9">
      <c r="A104" s="469" t="s">
        <v>4</v>
      </c>
      <c r="B104" s="469"/>
      <c r="C104" s="267" t="str">
        <f>C6</f>
        <v>Amanda Marcano Bahler</v>
      </c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74"/>
      <c r="P104" s="174"/>
    </row>
    <row r="105" spans="1:16" ht="27.9">
      <c r="A105" s="469" t="s">
        <v>5</v>
      </c>
      <c r="B105" s="469"/>
      <c r="C105" s="268"/>
      <c r="D105" s="190"/>
      <c r="E105" s="190"/>
      <c r="F105" s="190"/>
      <c r="G105" s="190"/>
      <c r="H105" s="190"/>
      <c r="I105" s="190"/>
      <c r="J105" s="190"/>
      <c r="K105" s="190"/>
      <c r="L105" s="190" t="str">
        <f>L7</f>
        <v>Horas:</v>
      </c>
      <c r="M105" s="267">
        <f>M7</f>
        <v>192</v>
      </c>
      <c r="N105" s="190"/>
      <c r="O105" s="174"/>
      <c r="P105" s="174"/>
    </row>
    <row r="106" spans="1:16" ht="27.9">
      <c r="A106" s="190"/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74"/>
      <c r="P106" s="174"/>
    </row>
    <row r="107" spans="1:16" ht="32.6">
      <c r="A107" s="464" t="s">
        <v>7</v>
      </c>
      <c r="B107" s="464"/>
      <c r="C107" s="264" t="s">
        <v>20</v>
      </c>
      <c r="D107" s="174"/>
      <c r="E107" s="174"/>
      <c r="F107" s="174"/>
      <c r="G107" s="174"/>
      <c r="H107" s="174"/>
      <c r="I107" s="174"/>
      <c r="J107" s="174"/>
      <c r="K107" s="174"/>
      <c r="L107" s="460" t="s">
        <v>9</v>
      </c>
      <c r="M107" s="460"/>
      <c r="N107" s="174"/>
      <c r="O107" s="174"/>
      <c r="P107" s="174"/>
    </row>
    <row r="108" spans="1:16" s="152" customFormat="1" ht="62.6" customHeight="1">
      <c r="A108" s="198" t="s">
        <v>10</v>
      </c>
      <c r="B108" s="198" t="s">
        <v>11</v>
      </c>
      <c r="C108" s="198" t="s">
        <v>12</v>
      </c>
      <c r="D108" s="198" t="s">
        <v>198</v>
      </c>
      <c r="E108" s="198" t="s">
        <v>199</v>
      </c>
      <c r="F108" s="198" t="s">
        <v>13</v>
      </c>
      <c r="G108" s="198" t="s">
        <v>14</v>
      </c>
      <c r="H108" s="199" t="s">
        <v>15</v>
      </c>
      <c r="I108" s="198" t="s">
        <v>197</v>
      </c>
      <c r="J108" s="199" t="s">
        <v>9</v>
      </c>
      <c r="K108" s="199" t="s">
        <v>16</v>
      </c>
      <c r="L108" s="198" t="s">
        <v>196</v>
      </c>
      <c r="M108" s="198" t="s">
        <v>194</v>
      </c>
      <c r="N108" s="198" t="s">
        <v>240</v>
      </c>
      <c r="O108" s="198" t="s">
        <v>241</v>
      </c>
      <c r="P108" s="199" t="s">
        <v>191</v>
      </c>
    </row>
    <row r="109" spans="1:16" ht="77.150000000000006" customHeight="1">
      <c r="A109" s="204">
        <v>51</v>
      </c>
      <c r="B109" s="205" t="str">
        <f>VLOOKUP(Tabla5121314152433[[#This Row],[No. Exp]],Tabla6[],2)</f>
        <v xml:space="preserve">Ana Gloria Delgado Rodriguez </v>
      </c>
      <c r="C109" s="204" t="str">
        <f>VLOOKUP(Tabla5121314152433[[#This Row],[No. Exp]],Tabla6[],3)</f>
        <v>99082510652</v>
      </c>
      <c r="D109" s="206">
        <v>192</v>
      </c>
      <c r="E109" s="206">
        <f>VLOOKUP(Tabla5121314152433[[#This Row],[No. Exp]],Tabla6[],5)</f>
        <v>41.665999999999997</v>
      </c>
      <c r="F109" s="206">
        <f>ROUND(Tabla5121314152433[[#This Row],[Horas Trabajadas]]*Tabla5121314152433[[#This Row],[Tarifas x horas]],0)</f>
        <v>8000</v>
      </c>
      <c r="G109" s="207"/>
      <c r="H109" s="206">
        <f>Tabla5121314152433[[#This Row],[A Cobrar]]+Tabla5121314152433[[#This Row],[Bonif]]</f>
        <v>8000</v>
      </c>
      <c r="I109" s="207"/>
      <c r="J109" s="271"/>
      <c r="K109" s="213" cm="1">
        <f t="array" ref="K109">MMULT(Tabla5121314152433[[#This Row],[Tarifas x horas]],8)*Tabla5121314152433[[#This Row],[Vacaciones]]</f>
        <v>0</v>
      </c>
      <c r="L109" s="210">
        <f>Tabla5121314152433[[#This Row],[Sal. Dev]]-Tabla5121314152433[[#This Row],[Ausencias]]+Tabla5121314152433[[#This Row],[pago x vacaciones]]</f>
        <v>8000</v>
      </c>
      <c r="M109" s="207">
        <f>5%*Tabla5121314152433[[#This Row],[Salario Neto]]</f>
        <v>400</v>
      </c>
      <c r="N109" s="206">
        <f>(9510-3260)*3%</f>
        <v>187.5</v>
      </c>
      <c r="O109" s="206"/>
      <c r="P109" s="210">
        <f>Tabla5121314152433[[#This Row],[Sal. Dev]]-Tabla5121314152433[[#This Row],[Ausencias]]+Tabla5121314152433[[#This Row],[pago x vacaciones]]-Tabla5121314152433[[#This Row],[importe Seg Social]]-Tabla5121314152433[[#This Row],[Imp. Sobr. Ing. Per 3% (3260.00-9510.00)]]</f>
        <v>7412.5</v>
      </c>
    </row>
    <row r="110" spans="1:16" ht="78.45" customHeight="1">
      <c r="A110" s="211">
        <v>53</v>
      </c>
      <c r="B110" s="205" t="str">
        <f>VLOOKUP(Tabla5121314152433[[#This Row],[No. Exp]],Tabla6[],2)</f>
        <v>Rowder Fernández Matos</v>
      </c>
      <c r="C110" s="212">
        <f>VLOOKUP(Tabla5121314152433[[#This Row],[No. Exp]],Tabla6[],3)</f>
        <v>92102527724</v>
      </c>
      <c r="D110" s="206">
        <v>192</v>
      </c>
      <c r="E110" s="206">
        <f>VLOOKUP(Tabla5121314152433[[#This Row],[No. Exp]],Tabla6[],5)</f>
        <v>41.665999999999997</v>
      </c>
      <c r="F110" s="206">
        <f>ROUND(Tabla5121314152433[[#This Row],[Horas Trabajadas]]*Tabla5121314152433[[#This Row],[Tarifas x horas]],0)</f>
        <v>8000</v>
      </c>
      <c r="G110" s="207"/>
      <c r="H110" s="206">
        <f>Tabla5121314152433[[#This Row],[A Cobrar]]+Tabla5121314152433[[#This Row],[Bonif]]</f>
        <v>8000</v>
      </c>
      <c r="I110" s="208"/>
      <c r="J110" s="209"/>
      <c r="K110" s="213" cm="1">
        <f t="array" ref="K110">MMULT(Tabla5121314152433[[#This Row],[Tarifas x horas]],8)*Tabla5121314152433[[#This Row],[Vacaciones]]</f>
        <v>0</v>
      </c>
      <c r="L110" s="210">
        <f>Tabla5121314152433[[#This Row],[Sal. Dev]]-Tabla5121314152433[[#This Row],[Ausencias]]+Tabla5121314152433[[#This Row],[pago x vacaciones]]</f>
        <v>8000</v>
      </c>
      <c r="M110" s="207">
        <f>5%*Tabla5121314152433[[#This Row],[Salario Neto]]</f>
        <v>400</v>
      </c>
      <c r="N110" s="206">
        <f t="shared" ref="N110:N112" si="7">(9510-3260)*3%</f>
        <v>187.5</v>
      </c>
      <c r="O110" s="206"/>
      <c r="P110" s="210">
        <f>Tabla5121314152433[[#This Row],[Sal. Dev]]-Tabla5121314152433[[#This Row],[Ausencias]]+Tabla5121314152433[[#This Row],[pago x vacaciones]]-Tabla5121314152433[[#This Row],[importe Seg Social]]-Tabla5121314152433[[#This Row],[Imp. Sobr. Ing. Per 3% (3260.00-9510.00)]]</f>
        <v>7412.5</v>
      </c>
    </row>
    <row r="111" spans="1:16" ht="69" customHeight="1">
      <c r="A111" s="211">
        <v>54</v>
      </c>
      <c r="B111" s="205" t="str">
        <f>VLOOKUP(Tabla5121314152433[[#This Row],[No. Exp]],Tabla6[],2)</f>
        <v>Dael David Rodríguez Noa</v>
      </c>
      <c r="C111" s="212" t="str">
        <f>VLOOKUP(Tabla5121314152433[[#This Row],[No. Exp]],Tabla6[],3)</f>
        <v>98022106389</v>
      </c>
      <c r="D111" s="206">
        <v>192</v>
      </c>
      <c r="E111" s="206">
        <f>VLOOKUP(Tabla5121314152433[[#This Row],[No. Exp]],Tabla6[],5)</f>
        <v>41.665999999999997</v>
      </c>
      <c r="F111" s="206">
        <f>ROUND(Tabla5121314152433[[#This Row],[Horas Trabajadas]]*Tabla5121314152433[[#This Row],[Tarifas x horas]],0)</f>
        <v>8000</v>
      </c>
      <c r="G111" s="207"/>
      <c r="H111" s="206">
        <f>Tabla5121314152433[[#This Row],[A Cobrar]]+Tabla5121314152433[[#This Row],[Bonif]]</f>
        <v>8000</v>
      </c>
      <c r="I111" s="213"/>
      <c r="J111" s="209"/>
      <c r="K111" s="213" cm="1">
        <f t="array" ref="K111">MMULT(Tabla5121314152433[[#This Row],[Tarifas x horas]],8)*Tabla5121314152433[[#This Row],[Vacaciones]]</f>
        <v>0</v>
      </c>
      <c r="L111" s="210">
        <f>Tabla5121314152433[[#This Row],[Sal. Dev]]-Tabla5121314152433[[#This Row],[Ausencias]]+Tabla5121314152433[[#This Row],[pago x vacaciones]]</f>
        <v>8000</v>
      </c>
      <c r="M111" s="207">
        <f>5%*Tabla5121314152433[[#This Row],[Salario Neto]]</f>
        <v>400</v>
      </c>
      <c r="N111" s="206">
        <f t="shared" si="7"/>
        <v>187.5</v>
      </c>
      <c r="O111" s="206"/>
      <c r="P111" s="210">
        <f>Tabla5121314152433[[#This Row],[Sal. Dev]]-Tabla5121314152433[[#This Row],[Ausencias]]+Tabla5121314152433[[#This Row],[pago x vacaciones]]-Tabla5121314152433[[#This Row],[importe Seg Social]]-Tabla5121314152433[[#This Row],[Imp. Sobr. Ing. Per 3% (3260.00-9510.00)]]</f>
        <v>7412.5</v>
      </c>
    </row>
    <row r="112" spans="1:16" ht="87.45" customHeight="1">
      <c r="A112" s="211">
        <v>55</v>
      </c>
      <c r="B112" s="205" t="str">
        <f>VLOOKUP(Tabla5121314152433[[#This Row],[No. Exp]],Tabla6[],2)</f>
        <v>Michel Abreu Pardo</v>
      </c>
      <c r="C112" s="212" t="str">
        <f>VLOOKUP(Tabla5121314152433[[#This Row],[No. Exp]],Tabla6[],3)</f>
        <v>87051210029</v>
      </c>
      <c r="D112" s="206">
        <v>192</v>
      </c>
      <c r="E112" s="206">
        <f>VLOOKUP(Tabla5121314152433[[#This Row],[No. Exp]],Tabla6[],5)</f>
        <v>41.665999999999997</v>
      </c>
      <c r="F112" s="206">
        <f>ROUND(Tabla5121314152433[[#This Row],[Horas Trabajadas]]*Tabla5121314152433[[#This Row],[Tarifas x horas]],0)</f>
        <v>8000</v>
      </c>
      <c r="G112" s="207"/>
      <c r="H112" s="206">
        <f>Tabla5121314152433[[#This Row],[A Cobrar]]+Tabla5121314152433[[#This Row],[Bonif]]</f>
        <v>8000</v>
      </c>
      <c r="I112" s="213"/>
      <c r="J112" s="209"/>
      <c r="K112" s="213" cm="1">
        <f t="array" ref="K112">MMULT(Tabla5121314152433[[#This Row],[Tarifas x horas]],8)*Tabla5121314152433[[#This Row],[Vacaciones]]</f>
        <v>0</v>
      </c>
      <c r="L112" s="210">
        <f>Tabla5121314152433[[#This Row],[Sal. Dev]]-Tabla5121314152433[[#This Row],[Ausencias]]+Tabla5121314152433[[#This Row],[pago x vacaciones]]</f>
        <v>8000</v>
      </c>
      <c r="M112" s="207">
        <f>5%*Tabla5121314152433[[#This Row],[Salario Neto]]</f>
        <v>400</v>
      </c>
      <c r="N112" s="206">
        <f t="shared" si="7"/>
        <v>187.5</v>
      </c>
      <c r="O112" s="206"/>
      <c r="P112" s="210">
        <f>Tabla5121314152433[[#This Row],[Sal. Dev]]-Tabla5121314152433[[#This Row],[Ausencias]]+Tabla5121314152433[[#This Row],[pago x vacaciones]]-Tabla5121314152433[[#This Row],[importe Seg Social]]-Tabla5121314152433[[#This Row],[Imp. Sobr. Ing. Per 3% (3260.00-9510.00)]]</f>
        <v>7412.5</v>
      </c>
    </row>
    <row r="113" spans="1:16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93"/>
      <c r="O113" s="193"/>
      <c r="P113" s="174"/>
    </row>
    <row r="114" spans="1:16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93"/>
      <c r="O114" s="193"/>
      <c r="P114" s="174"/>
    </row>
    <row r="115" spans="1:16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93"/>
      <c r="O115" s="193"/>
      <c r="P115" s="174"/>
    </row>
    <row r="116" spans="1:16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93"/>
      <c r="O116" s="193"/>
      <c r="P116" s="174"/>
    </row>
    <row r="117" spans="1:16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93"/>
      <c r="O117" s="193"/>
      <c r="P117" s="174"/>
    </row>
    <row r="118" spans="1:16">
      <c r="A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93"/>
      <c r="O118" s="193"/>
      <c r="P118" s="174"/>
    </row>
    <row r="119" spans="1:16">
      <c r="A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93"/>
      <c r="O119" s="193"/>
      <c r="P119" s="174"/>
    </row>
    <row r="120" spans="1:16">
      <c r="A120" s="174"/>
      <c r="B120" s="266"/>
      <c r="C120" s="266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93"/>
      <c r="O120" s="193"/>
      <c r="P120" s="174"/>
    </row>
    <row r="121" spans="1:16">
      <c r="A121" s="174"/>
      <c r="B121" s="470" t="s">
        <v>208</v>
      </c>
      <c r="C121" s="470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93"/>
      <c r="O121" s="193"/>
      <c r="P121" s="174"/>
    </row>
    <row r="122" spans="1:16">
      <c r="A122" s="174"/>
      <c r="B122" s="266"/>
      <c r="C122" s="266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93"/>
      <c r="O122" s="193"/>
      <c r="P122" s="174"/>
    </row>
    <row r="123" spans="1:16">
      <c r="A123" s="174"/>
      <c r="B123" s="266"/>
      <c r="C123" s="266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93"/>
      <c r="O123" s="193"/>
      <c r="P123" s="174"/>
    </row>
    <row r="124" spans="1:16">
      <c r="N124" s="155"/>
      <c r="O124" s="155"/>
    </row>
    <row r="125" spans="1:16">
      <c r="N125" s="155"/>
      <c r="O125" s="155"/>
    </row>
    <row r="126" spans="1:16">
      <c r="N126" s="155"/>
      <c r="O126" s="155"/>
    </row>
    <row r="127" spans="1:16" ht="46.3">
      <c r="A127" s="461" t="s">
        <v>0</v>
      </c>
      <c r="B127" s="461"/>
      <c r="C127" s="143"/>
      <c r="D127" s="143"/>
      <c r="I127" s="166" t="s">
        <v>1</v>
      </c>
      <c r="J127" s="166" t="s">
        <v>2</v>
      </c>
      <c r="K127" s="177">
        <f>K103</f>
        <v>45901</v>
      </c>
      <c r="L127" s="178" t="s">
        <v>3</v>
      </c>
      <c r="M127" s="177">
        <f>M103</f>
        <v>45930</v>
      </c>
      <c r="N127" s="155"/>
      <c r="O127" s="155"/>
    </row>
    <row r="128" spans="1:16" ht="28.3">
      <c r="A128" s="462" t="s">
        <v>4</v>
      </c>
      <c r="B128" s="462"/>
      <c r="C128" s="175" t="s">
        <v>223</v>
      </c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274"/>
      <c r="O128" s="274"/>
      <c r="P128" s="163"/>
    </row>
    <row r="129" spans="1:34" ht="28.3">
      <c r="A129" s="163"/>
      <c r="B129" s="163" t="s">
        <v>205</v>
      </c>
      <c r="C129" s="275" t="s">
        <v>206</v>
      </c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274"/>
      <c r="O129" s="274"/>
      <c r="P129" s="163"/>
    </row>
    <row r="130" spans="1:34" ht="35.6">
      <c r="A130" s="471" t="s">
        <v>7</v>
      </c>
      <c r="B130" s="471"/>
      <c r="C130" s="276" t="s">
        <v>21</v>
      </c>
      <c r="D130" s="163"/>
      <c r="E130" s="163"/>
      <c r="F130" s="163"/>
      <c r="G130" s="163"/>
      <c r="H130" s="163"/>
      <c r="I130" s="163"/>
      <c r="J130" s="163"/>
      <c r="K130" s="163"/>
      <c r="L130" s="462" t="s">
        <v>9</v>
      </c>
      <c r="M130" s="462"/>
      <c r="N130" s="163"/>
      <c r="O130" s="163"/>
      <c r="P130" s="163"/>
    </row>
    <row r="131" spans="1:34" s="152" customFormat="1" ht="81.45" customHeight="1">
      <c r="A131" s="221" t="s">
        <v>10</v>
      </c>
      <c r="B131" s="222" t="s">
        <v>11</v>
      </c>
      <c r="C131" s="222" t="s">
        <v>12</v>
      </c>
      <c r="D131" s="222" t="s">
        <v>201</v>
      </c>
      <c r="E131" s="222" t="s">
        <v>199</v>
      </c>
      <c r="F131" s="222" t="s">
        <v>13</v>
      </c>
      <c r="G131" s="222" t="s">
        <v>14</v>
      </c>
      <c r="H131" s="223" t="s">
        <v>15</v>
      </c>
      <c r="I131" s="222" t="s">
        <v>197</v>
      </c>
      <c r="J131" s="222" t="s">
        <v>9</v>
      </c>
      <c r="K131" s="222" t="s">
        <v>16</v>
      </c>
      <c r="L131" s="222" t="s">
        <v>196</v>
      </c>
      <c r="M131" s="222" t="s">
        <v>194</v>
      </c>
      <c r="N131" s="222" t="s">
        <v>240</v>
      </c>
      <c r="O131" s="286" t="s">
        <v>241</v>
      </c>
      <c r="P131" s="224" t="s">
        <v>191</v>
      </c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  <c r="AA131" s="140"/>
      <c r="AB131" s="140"/>
      <c r="AC131" s="140"/>
      <c r="AD131" s="140"/>
      <c r="AE131" s="140"/>
      <c r="AF131" s="140"/>
      <c r="AG131" s="140"/>
      <c r="AH131" s="140"/>
    </row>
    <row r="132" spans="1:34" ht="92.6" customHeight="1">
      <c r="A132" s="207">
        <v>56</v>
      </c>
      <c r="B132" s="205" t="str">
        <f>VLOOKUP(Tabla5121314_3162534[[#This Row],[No. Exp]],Tabla6[],2)</f>
        <v>María Ofelia Morgado Rodríguez</v>
      </c>
      <c r="C132" s="204">
        <f>VLOOKUP(Tabla5121314_3162534[[#This Row],[No. Exp]],Tabla6[],3)</f>
        <v>85090214737</v>
      </c>
      <c r="D132" s="206">
        <v>192</v>
      </c>
      <c r="E132" s="206">
        <f>VLOOKUP(Tabla5121314_3162534[[#This Row],[No. Exp]],Tabla6[],5)</f>
        <v>44.27</v>
      </c>
      <c r="F132" s="206">
        <f>ROUND(Tabla5121314_3162534[[#This Row],[Horas trabajadas]]*Tabla5121314_3162534[[#This Row],[Tarifas x horas]],0)</f>
        <v>8500</v>
      </c>
      <c r="G132" s="207"/>
      <c r="H132" s="206">
        <f>Tabla5121314_3162534[[#This Row],[A Cobrar]]+Tabla5121314_3162534[[#This Row],[Bonif]]</f>
        <v>8500</v>
      </c>
      <c r="I132" s="207"/>
      <c r="J132" s="209"/>
      <c r="K132" s="207" cm="1">
        <f t="array" ref="K132">MMULT(Tabla5121314_3162534[[#This Row],[Tarifas x horas]],8)*Tabla5121314_3162534[[#This Row],[Vacaciones]]</f>
        <v>0</v>
      </c>
      <c r="L132" s="206">
        <f>Tabla5121314_3162534[[#This Row],[Sal. Dev]]-Tabla5121314_3162534[[#This Row],[Ausencias]]+Tabla5121314_3162534[[#This Row],[pago x vacaciones]]</f>
        <v>8500</v>
      </c>
      <c r="M132" s="207">
        <f>5%*Tabla5121314_3162534[[#This Row],[Salario Neto]]</f>
        <v>425</v>
      </c>
      <c r="N132" s="206">
        <f>(9510-3260)*3%</f>
        <v>187.5</v>
      </c>
      <c r="O132" s="206"/>
      <c r="P132" s="210">
        <f>Tabla5121314_3162534[[#This Row],[Sal. Dev]]-Tabla5121314_3162534[[#This Row],[Ausencias]]+Tabla5121314_3162534[[#This Row],[pago x vacaciones]]-Tabla5121314_3162534[[#This Row],[importe Seg Social]]-Tabla5121314_3162534[[#This Row],[Imp. Sobr. Ing. Per 3% (3260.00-9510.00)]]</f>
        <v>7887.5</v>
      </c>
    </row>
    <row r="133" spans="1:34" ht="63.9" customHeight="1">
      <c r="A133" s="207">
        <v>57</v>
      </c>
      <c r="B133" s="205" t="str">
        <f>VLOOKUP(Tabla5121314_3162534[[#This Row],[No. Exp]],Tabla6[],2)</f>
        <v>Pedro Luis Cruz Luna</v>
      </c>
      <c r="C133" s="204">
        <f>VLOOKUP(Tabla5121314_3162534[[#This Row],[No. Exp]],Tabla6[],3)</f>
        <v>67032021083</v>
      </c>
      <c r="D133" s="206">
        <v>192</v>
      </c>
      <c r="E133" s="206">
        <f>VLOOKUP(Tabla5121314_3162534[[#This Row],[No. Exp]],Tabla6[],5)</f>
        <v>41.665999999999997</v>
      </c>
      <c r="F133" s="206">
        <f>ROUND(Tabla5121314_3162534[[#This Row],[Horas trabajadas]]*Tabla5121314_3162534[[#This Row],[Tarifas x horas]],0)</f>
        <v>8000</v>
      </c>
      <c r="G133" s="207"/>
      <c r="H133" s="206">
        <f>Tabla5121314_3162534[[#This Row],[A Cobrar]]+Tabla5121314_3162534[[#This Row],[Bonif]]</f>
        <v>8000</v>
      </c>
      <c r="I133" s="207"/>
      <c r="J133" s="209"/>
      <c r="K133" s="207" cm="1">
        <f t="array" ref="K133">MMULT(Tabla5121314_3162534[[#This Row],[Tarifas x horas]],8)*Tabla5121314_3162534[[#This Row],[Vacaciones]]</f>
        <v>0</v>
      </c>
      <c r="L133" s="206">
        <f>Tabla5121314_3162534[[#This Row],[Sal. Dev]]-Tabla5121314_3162534[[#This Row],[Ausencias]]+Tabla5121314_3162534[[#This Row],[pago x vacaciones]]</f>
        <v>8000</v>
      </c>
      <c r="M133" s="207">
        <f>5%*Tabla5121314_3162534[[#This Row],[Salario Neto]]</f>
        <v>400</v>
      </c>
      <c r="N133" s="206">
        <f t="shared" ref="N133:N147" si="8">(9510-3260)*3%</f>
        <v>187.5</v>
      </c>
      <c r="O133" s="206"/>
      <c r="P133" s="210">
        <f>Tabla5121314_3162534[[#This Row],[Sal. Dev]]-Tabla5121314_3162534[[#This Row],[Ausencias]]+Tabla5121314_3162534[[#This Row],[pago x vacaciones]]-Tabla5121314_3162534[[#This Row],[importe Seg Social]]-Tabla5121314_3162534[[#This Row],[Imp. Sobr. Ing. Per 3% (3260.00-9510.00)]]</f>
        <v>7412.5</v>
      </c>
    </row>
    <row r="134" spans="1:34" ht="63.9" customHeight="1">
      <c r="A134" s="278">
        <v>58</v>
      </c>
      <c r="B134" s="225" t="str">
        <f>VLOOKUP(Tabla5121314_3162534[[#This Row],[No. Exp]],Tabla6[],2)</f>
        <v>Amanda Valdés Cabrera</v>
      </c>
      <c r="C134" s="212" t="str">
        <f>VLOOKUP(Tabla5121314_3162534[[#This Row],[No. Exp]],Tabla6[],3)</f>
        <v>04121272936</v>
      </c>
      <c r="D134" s="206">
        <v>192</v>
      </c>
      <c r="E134" s="226">
        <f>VLOOKUP(Tabla5121314_3162534[[#This Row],[No. Exp]],Tabla6[],5)</f>
        <v>41.665999999999997</v>
      </c>
      <c r="F134" s="206">
        <f>ROUND(Tabla5121314_3162534[[#This Row],[Horas trabajadas]]*Tabla5121314_3162534[[#This Row],[Tarifas x horas]],0)</f>
        <v>8000</v>
      </c>
      <c r="G134" s="207"/>
      <c r="H134" s="206">
        <f>Tabla5121314_3162534[[#This Row],[A Cobrar]]+Tabla5121314_3162534[[#This Row],[Bonif]]</f>
        <v>8000</v>
      </c>
      <c r="I134" s="208"/>
      <c r="J134" s="209"/>
      <c r="K134" s="207" cm="1">
        <f t="array" ref="K134">MMULT(Tabla5121314_3162534[[#This Row],[Tarifas x horas]],8)*Tabla5121314_3162534[[#This Row],[Vacaciones]]</f>
        <v>0</v>
      </c>
      <c r="L134" s="206">
        <f>Tabla5121314_3162534[[#This Row],[Sal. Dev]]-Tabla5121314_3162534[[#This Row],[Ausencias]]+Tabla5121314_3162534[[#This Row],[pago x vacaciones]]</f>
        <v>8000</v>
      </c>
      <c r="M134" s="207">
        <f>5%*Tabla5121314_3162534[[#This Row],[Salario Neto]]</f>
        <v>400</v>
      </c>
      <c r="N134" s="206">
        <f t="shared" si="8"/>
        <v>187.5</v>
      </c>
      <c r="O134" s="206"/>
      <c r="P134" s="210">
        <f>Tabla5121314_3162534[[#This Row],[Sal. Dev]]-Tabla5121314_3162534[[#This Row],[Ausencias]]+Tabla5121314_3162534[[#This Row],[pago x vacaciones]]-Tabla5121314_3162534[[#This Row],[importe Seg Social]]-Tabla5121314_3162534[[#This Row],[Imp. Sobr. Ing. Per 3% (3260.00-9510.00)]]</f>
        <v>7412.5</v>
      </c>
    </row>
    <row r="135" spans="1:34" ht="74.150000000000006" customHeight="1">
      <c r="A135" s="278">
        <v>59</v>
      </c>
      <c r="B135" s="205" t="str">
        <f>VLOOKUP(Tabla5121314_3162534[[#This Row],[No. Exp]],Tabla6[],2)</f>
        <v>Beatriz González Santana</v>
      </c>
      <c r="C135" s="212" t="str">
        <f>VLOOKUP(Tabla5121314_3162534[[#This Row],[No. Exp]],Tabla6[],3)</f>
        <v>96022414792</v>
      </c>
      <c r="D135" s="206">
        <v>192</v>
      </c>
      <c r="E135" s="206">
        <f>VLOOKUP(Tabla5121314_3162534[[#This Row],[No. Exp]],Tabla6[],5)</f>
        <v>41.665999999999997</v>
      </c>
      <c r="F135" s="206">
        <f>ROUND(Tabla5121314_3162534[[#This Row],[Horas trabajadas]]*Tabla5121314_3162534[[#This Row],[Tarifas x horas]],0)</f>
        <v>8000</v>
      </c>
      <c r="G135" s="207"/>
      <c r="H135" s="206">
        <f>Tabla5121314_3162534[[#This Row],[A Cobrar]]+Tabla5121314_3162534[[#This Row],[Bonif]]</f>
        <v>8000</v>
      </c>
      <c r="I135" s="208"/>
      <c r="J135" s="209"/>
      <c r="K135" s="206" cm="1">
        <f t="array" ref="K135">MMULT(Tabla5121314_3162534[[#This Row],[Tarifas x horas]],8)*Tabla5121314_3162534[[#This Row],[Vacaciones]]</f>
        <v>0</v>
      </c>
      <c r="L135" s="206">
        <f>Tabla5121314_3162534[[#This Row],[Sal. Dev]]-Tabla5121314_3162534[[#This Row],[Ausencias]]+Tabla5121314_3162534[[#This Row],[pago x vacaciones]]</f>
        <v>8000</v>
      </c>
      <c r="M135" s="207">
        <f>5%*Tabla5121314_3162534[[#This Row],[Salario Neto]]</f>
        <v>400</v>
      </c>
      <c r="N135" s="206">
        <f t="shared" si="8"/>
        <v>187.5</v>
      </c>
      <c r="O135" s="206"/>
      <c r="P135" s="210">
        <f>Tabla5121314_3162534[[#This Row],[Sal. Dev]]-Tabla5121314_3162534[[#This Row],[Ausencias]]+Tabla5121314_3162534[[#This Row],[pago x vacaciones]]-Tabla5121314_3162534[[#This Row],[importe Seg Social]]-Tabla5121314_3162534[[#This Row],[Imp. Sobr. Ing. Per 3% (3260.00-9510.00)]]</f>
        <v>7412.5</v>
      </c>
    </row>
    <row r="136" spans="1:34" ht="55.85" customHeight="1">
      <c r="A136" s="278">
        <v>61</v>
      </c>
      <c r="B136" s="205" t="str">
        <f>VLOOKUP(Tabla5121314_3162534[[#This Row],[No. Exp]],Tabla6[],2)</f>
        <v>Lisbet Pina Crespo</v>
      </c>
      <c r="C136" s="212" t="str">
        <f>VLOOKUP(Tabla5121314_3162534[[#This Row],[No. Exp]],Tabla6[],3)</f>
        <v>00091472957</v>
      </c>
      <c r="D136" s="206">
        <v>192</v>
      </c>
      <c r="E136" s="206">
        <f>VLOOKUP(Tabla5121314_3162534[[#This Row],[No. Exp]],Tabla6[],5)</f>
        <v>41.665999999999997</v>
      </c>
      <c r="F136" s="206">
        <f>ROUND(Tabla5121314_3162534[[#This Row],[Horas trabajadas]]*Tabla5121314_3162534[[#This Row],[Tarifas x horas]],0)</f>
        <v>8000</v>
      </c>
      <c r="G136" s="207"/>
      <c r="H136" s="206">
        <f>Tabla5121314_3162534[[#This Row],[A Cobrar]]+Tabla5121314_3162534[[#This Row],[Bonif]]</f>
        <v>8000</v>
      </c>
      <c r="I136" s="213"/>
      <c r="J136" s="209"/>
      <c r="K136" s="207" cm="1">
        <f t="array" ref="K136">MMULT(Tabla5121314_3162534[[#This Row],[Tarifas x horas]],8)*Tabla5121314_3162534[[#This Row],[Vacaciones]]</f>
        <v>0</v>
      </c>
      <c r="L136" s="206">
        <f>Tabla5121314_3162534[[#This Row],[Sal. Dev]]-Tabla5121314_3162534[[#This Row],[Ausencias]]+Tabla5121314_3162534[[#This Row],[pago x vacaciones]]</f>
        <v>8000</v>
      </c>
      <c r="M136" s="207">
        <f>5%*Tabla5121314_3162534[[#This Row],[Salario Neto]]</f>
        <v>400</v>
      </c>
      <c r="N136" s="206">
        <f t="shared" si="8"/>
        <v>187.5</v>
      </c>
      <c r="O136" s="206"/>
      <c r="P136" s="210">
        <f>Tabla5121314_3162534[[#This Row],[Sal. Dev]]-Tabla5121314_3162534[[#This Row],[Ausencias]]+Tabla5121314_3162534[[#This Row],[pago x vacaciones]]-Tabla5121314_3162534[[#This Row],[importe Seg Social]]-Tabla5121314_3162534[[#This Row],[Imp. Sobr. Ing. Per 3% (3260.00-9510.00)]]</f>
        <v>7412.5</v>
      </c>
    </row>
    <row r="137" spans="1:34" ht="72" customHeight="1">
      <c r="A137" s="278">
        <v>62</v>
      </c>
      <c r="B137" s="279" t="str">
        <f>VLOOKUP(Tabla5121314_3162534[[#This Row],[No. Exp]],Tabla6[],2)</f>
        <v>Marlys de la Caridad Rodriguez Santana</v>
      </c>
      <c r="C137" s="212" t="str">
        <f>VLOOKUP(Tabla5121314_3162534[[#This Row],[No. Exp]],Tabla6[],3)</f>
        <v>00062372918</v>
      </c>
      <c r="D137" s="206">
        <v>192</v>
      </c>
      <c r="E137" s="206">
        <f>VLOOKUP(Tabla5121314_3162534[[#This Row],[No. Exp]],Tabla6[],5)</f>
        <v>41.665999999999997</v>
      </c>
      <c r="F137" s="206">
        <f>ROUND(Tabla5121314_3162534[[#This Row],[Horas trabajadas]]*Tabla5121314_3162534[[#This Row],[Tarifas x horas]],0)</f>
        <v>8000</v>
      </c>
      <c r="G137" s="207"/>
      <c r="H137" s="206">
        <f>Tabla5121314_3162534[[#This Row],[A Cobrar]]+Tabla5121314_3162534[[#This Row],[Bonif]]</f>
        <v>8000</v>
      </c>
      <c r="I137" s="213"/>
      <c r="J137" s="209"/>
      <c r="K137" s="207" cm="1">
        <f t="array" ref="K137">MMULT(Tabla5121314_3162534[[#This Row],[Tarifas x horas]],8)*Tabla5121314_3162534[[#This Row],[Vacaciones]]</f>
        <v>0</v>
      </c>
      <c r="L137" s="206">
        <f>Tabla5121314_3162534[[#This Row],[Sal. Dev]]-Tabla5121314_3162534[[#This Row],[Ausencias]]+Tabla5121314_3162534[[#This Row],[pago x vacaciones]]</f>
        <v>8000</v>
      </c>
      <c r="M137" s="207">
        <f>5%*Tabla5121314_3162534[[#This Row],[Salario Neto]]</f>
        <v>400</v>
      </c>
      <c r="N137" s="206">
        <f t="shared" si="8"/>
        <v>187.5</v>
      </c>
      <c r="O137" s="206"/>
      <c r="P137" s="210">
        <f>Tabla5121314_3162534[[#This Row],[Sal. Dev]]-Tabla5121314_3162534[[#This Row],[Ausencias]]+Tabla5121314_3162534[[#This Row],[pago x vacaciones]]-Tabla5121314_3162534[[#This Row],[importe Seg Social]]-Tabla5121314_3162534[[#This Row],[Imp. Sobr. Ing. Per 3% (3260.00-9510.00)]]</f>
        <v>7412.5</v>
      </c>
    </row>
    <row r="138" spans="1:34" ht="50.15" customHeight="1">
      <c r="A138" s="278">
        <v>63</v>
      </c>
      <c r="B138" s="280" t="str">
        <f>VLOOKUP(Tabla5121314_3162534[[#This Row],[No. Exp]],Tabla6[],2)</f>
        <v>Dariel Alberto Pérez Cancio</v>
      </c>
      <c r="C138" s="211">
        <f>VLOOKUP(Tabla5121314_3162534[[#This Row],[No. Exp]],Tabla6[],3)</f>
        <v>95061537180</v>
      </c>
      <c r="D138" s="206">
        <v>192</v>
      </c>
      <c r="E138" s="281">
        <f>VLOOKUP(Tabla5121314_3162534[[#This Row],[No. Exp]],Tabla6[],5)</f>
        <v>40.625</v>
      </c>
      <c r="F138" s="281">
        <f>ROUND(Tabla5121314_3162534[[#This Row],[Horas trabajadas]]*Tabla5121314_3162534[[#This Row],[Tarifas x horas]],0)</f>
        <v>7800</v>
      </c>
      <c r="G138" s="213"/>
      <c r="H138" s="281">
        <f>Tabla5121314_3162534[[#This Row],[A Cobrar]]+Tabla5121314_3162534[[#This Row],[Bonif]]</f>
        <v>7800</v>
      </c>
      <c r="I138" s="213"/>
      <c r="J138" s="209"/>
      <c r="K138" s="207" cm="1">
        <f t="array" ref="K138">MMULT(Tabla5121314_3162534[[#This Row],[Tarifas x horas]],8)*Tabla5121314_3162534[[#This Row],[Vacaciones]]</f>
        <v>0</v>
      </c>
      <c r="L138" s="206">
        <f>Tabla5121314_3162534[[#This Row],[Sal. Dev]]-Tabla5121314_3162534[[#This Row],[Ausencias]]+Tabla5121314_3162534[[#This Row],[pago x vacaciones]]</f>
        <v>7800</v>
      </c>
      <c r="M138" s="207">
        <f>5%*Tabla5121314_3162534[[#This Row],[Salario Neto]]</f>
        <v>390</v>
      </c>
      <c r="N138" s="206">
        <f t="shared" si="8"/>
        <v>187.5</v>
      </c>
      <c r="O138" s="206"/>
      <c r="P138" s="210">
        <f>Tabla5121314_3162534[[#This Row],[Sal. Dev]]-Tabla5121314_3162534[[#This Row],[Ausencias]]+Tabla5121314_3162534[[#This Row],[pago x vacaciones]]-Tabla5121314_3162534[[#This Row],[importe Seg Social]]-Tabla5121314_3162534[[#This Row],[Imp. Sobr. Ing. Per 3% (3260.00-9510.00)]]</f>
        <v>7222.5</v>
      </c>
    </row>
    <row r="139" spans="1:34" ht="59.6" customHeight="1">
      <c r="A139" s="278">
        <v>65</v>
      </c>
      <c r="B139" s="280" t="str">
        <f>VLOOKUP(Tabla5121314_3162534[[#This Row],[No. Exp]],Tabla6[],2)</f>
        <v>Dasiel Hernández García</v>
      </c>
      <c r="C139" s="211">
        <f>VLOOKUP(Tabla5121314_3162534[[#This Row],[No. Exp]],Tabla6[],3)</f>
        <v>90083036529</v>
      </c>
      <c r="D139" s="206">
        <v>192</v>
      </c>
      <c r="E139" s="281">
        <f>VLOOKUP(Tabla5121314_3162534[[#This Row],[No. Exp]],Tabla6[],5)</f>
        <v>40.625</v>
      </c>
      <c r="F139" s="281">
        <f>ROUND(Tabla5121314_3162534[[#This Row],[Horas trabajadas]]*Tabla5121314_3162534[[#This Row],[Tarifas x horas]],0)</f>
        <v>7800</v>
      </c>
      <c r="G139" s="213"/>
      <c r="H139" s="281">
        <f>Tabla5121314_3162534[[#This Row],[A Cobrar]]+Tabla5121314_3162534[[#This Row],[Bonif]]</f>
        <v>7800</v>
      </c>
      <c r="I139" s="213"/>
      <c r="J139" s="209"/>
      <c r="K139" s="207" cm="1">
        <f t="array" ref="K139">MMULT(Tabla5121314_3162534[[#This Row],[Tarifas x horas]],8)*Tabla5121314_3162534[[#This Row],[Vacaciones]]</f>
        <v>0</v>
      </c>
      <c r="L139" s="206">
        <f>Tabla5121314_3162534[[#This Row],[Sal. Dev]]-Tabla5121314_3162534[[#This Row],[Ausencias]]+Tabla5121314_3162534[[#This Row],[pago x vacaciones]]</f>
        <v>7800</v>
      </c>
      <c r="M139" s="207">
        <f>5%*Tabla5121314_3162534[[#This Row],[Salario Neto]]</f>
        <v>390</v>
      </c>
      <c r="N139" s="206">
        <f t="shared" si="8"/>
        <v>187.5</v>
      </c>
      <c r="O139" s="206"/>
      <c r="P139" s="210">
        <f>Tabla5121314_3162534[[#This Row],[Sal. Dev]]-Tabla5121314_3162534[[#This Row],[Ausencias]]+Tabla5121314_3162534[[#This Row],[pago x vacaciones]]-Tabla5121314_3162534[[#This Row],[importe Seg Social]]-Tabla5121314_3162534[[#This Row],[Imp. Sobr. Ing. Per 3% (3260.00-9510.00)]]</f>
        <v>7222.5</v>
      </c>
    </row>
    <row r="140" spans="1:34" ht="58.3" customHeight="1">
      <c r="A140" s="278">
        <v>66</v>
      </c>
      <c r="B140" s="280" t="str">
        <f>VLOOKUP(Tabla5121314_3162534[[#This Row],[No. Exp]],Tabla6[],2)</f>
        <v>Oscar Reyes García</v>
      </c>
      <c r="C140" s="211">
        <f>VLOOKUP(Tabla5121314_3162534[[#This Row],[No. Exp]],Tabla6[],3)</f>
        <v>96070314742</v>
      </c>
      <c r="D140" s="206">
        <v>192</v>
      </c>
      <c r="E140" s="281">
        <f>VLOOKUP(Tabla5121314_3162534[[#This Row],[No. Exp]],Tabla6[],5)</f>
        <v>40.625</v>
      </c>
      <c r="F140" s="281">
        <f>ROUND(Tabla5121314_3162534[[#This Row],[Horas trabajadas]]*Tabla5121314_3162534[[#This Row],[Tarifas x horas]],0)</f>
        <v>7800</v>
      </c>
      <c r="G140" s="213"/>
      <c r="H140" s="281">
        <f>Tabla5121314_3162534[[#This Row],[A Cobrar]]+Tabla5121314_3162534[[#This Row],[Bonif]]</f>
        <v>7800</v>
      </c>
      <c r="I140" s="213"/>
      <c r="J140" s="209"/>
      <c r="K140" s="207" cm="1">
        <f t="array" ref="K140">MMULT(Tabla5121314_3162534[[#This Row],[Tarifas x horas]],8)*Tabla5121314_3162534[[#This Row],[Vacaciones]]</f>
        <v>0</v>
      </c>
      <c r="L140" s="206">
        <f>Tabla5121314_3162534[[#This Row],[Sal. Dev]]-Tabla5121314_3162534[[#This Row],[Ausencias]]+Tabla5121314_3162534[[#This Row],[pago x vacaciones]]</f>
        <v>7800</v>
      </c>
      <c r="M140" s="207">
        <f>5%*Tabla5121314_3162534[[#This Row],[Salario Neto]]</f>
        <v>390</v>
      </c>
      <c r="N140" s="206">
        <f t="shared" si="8"/>
        <v>187.5</v>
      </c>
      <c r="O140" s="206"/>
      <c r="P140" s="210">
        <f>Tabla5121314_3162534[[#This Row],[Sal. Dev]]-Tabla5121314_3162534[[#This Row],[Ausencias]]+Tabla5121314_3162534[[#This Row],[pago x vacaciones]]-Tabla5121314_3162534[[#This Row],[importe Seg Social]]-Tabla5121314_3162534[[#This Row],[Imp. Sobr. Ing. Per 3% (3260.00-9510.00)]]</f>
        <v>7222.5</v>
      </c>
    </row>
    <row r="141" spans="1:34" ht="58.3" customHeight="1">
      <c r="A141" s="278">
        <v>67</v>
      </c>
      <c r="B141" s="280" t="str">
        <f>VLOOKUP(Tabla5121314_3162534[[#This Row],[No. Exp]],Tabla6[],2)</f>
        <v>Junior Pérez Ramos</v>
      </c>
      <c r="C141" s="211">
        <f>VLOOKUP(Tabla5121314_3162534[[#This Row],[No. Exp]],Tabla6[],3)</f>
        <v>84021714745</v>
      </c>
      <c r="D141" s="206">
        <v>192</v>
      </c>
      <c r="E141" s="281">
        <f>VLOOKUP(Tabla5121314_3162534[[#This Row],[No. Exp]],Tabla6[],5)</f>
        <v>40.625</v>
      </c>
      <c r="F141" s="281">
        <f>ROUND(Tabla5121314_3162534[[#This Row],[Horas trabajadas]]*Tabla5121314_3162534[[#This Row],[Tarifas x horas]],0)</f>
        <v>7800</v>
      </c>
      <c r="G141" s="213"/>
      <c r="H141" s="281">
        <f>Tabla5121314_3162534[[#This Row],[A Cobrar]]+Tabla5121314_3162534[[#This Row],[Bonif]]</f>
        <v>7800</v>
      </c>
      <c r="I141" s="213"/>
      <c r="J141" s="209"/>
      <c r="K141" s="206" cm="1">
        <f t="array" ref="K141">MMULT(Tabla5121314_3162534[[#This Row],[Tarifas x horas]],8)*Tabla5121314_3162534[[#This Row],[Vacaciones]]</f>
        <v>0</v>
      </c>
      <c r="L141" s="206">
        <f>Tabla5121314_3162534[[#This Row],[Sal. Dev]]-Tabla5121314_3162534[[#This Row],[Ausencias]]+Tabla5121314_3162534[[#This Row],[pago x vacaciones]]</f>
        <v>7800</v>
      </c>
      <c r="M141" s="207">
        <f>5%*Tabla5121314_3162534[[#This Row],[Salario Neto]]</f>
        <v>390</v>
      </c>
      <c r="N141" s="206">
        <f t="shared" si="8"/>
        <v>187.5</v>
      </c>
      <c r="O141" s="206"/>
      <c r="P141" s="210">
        <f>Tabla5121314_3162534[[#This Row],[Sal. Dev]]-Tabla5121314_3162534[[#This Row],[Ausencias]]+Tabla5121314_3162534[[#This Row],[pago x vacaciones]]-Tabla5121314_3162534[[#This Row],[importe Seg Social]]-Tabla5121314_3162534[[#This Row],[Imp. Sobr. Ing. Per 3% (3260.00-9510.00)]]</f>
        <v>7222.5</v>
      </c>
    </row>
    <row r="142" spans="1:34" ht="63.45" customHeight="1">
      <c r="A142" s="278">
        <v>68</v>
      </c>
      <c r="B142" s="280" t="str">
        <f>VLOOKUP(Tabla5121314_3162534[[#This Row],[No. Exp]],Tabla6[],2)</f>
        <v>Dayron Angel Pérez Chirino</v>
      </c>
      <c r="C142" s="211" t="str">
        <f>VLOOKUP(Tabla5121314_3162534[[#This Row],[No. Exp]],Tabla6[],3)</f>
        <v>03113073183</v>
      </c>
      <c r="D142" s="206">
        <v>192</v>
      </c>
      <c r="E142" s="281">
        <f>VLOOKUP(Tabla5121314_3162534[[#This Row],[No. Exp]],Tabla6[],5)</f>
        <v>40.625</v>
      </c>
      <c r="F142" s="281">
        <f>ROUND(Tabla5121314_3162534[[#This Row],[Horas trabajadas]]*Tabla5121314_3162534[[#This Row],[Tarifas x horas]],0)</f>
        <v>7800</v>
      </c>
      <c r="G142" s="213"/>
      <c r="H142" s="281">
        <f>Tabla5121314_3162534[[#This Row],[A Cobrar]]+Tabla5121314_3162534[[#This Row],[Bonif]]</f>
        <v>7800</v>
      </c>
      <c r="I142" s="213"/>
      <c r="J142" s="209"/>
      <c r="K142" s="207" cm="1">
        <f t="array" ref="K142">MMULT(Tabla5121314_3162534[[#This Row],[Tarifas x horas]],8)*Tabla5121314_3162534[[#This Row],[Vacaciones]]</f>
        <v>0</v>
      </c>
      <c r="L142" s="206">
        <f>Tabla5121314_3162534[[#This Row],[Sal. Dev]]-Tabla5121314_3162534[[#This Row],[Ausencias]]+Tabla5121314_3162534[[#This Row],[pago x vacaciones]]</f>
        <v>7800</v>
      </c>
      <c r="M142" s="207">
        <f>5%*Tabla5121314_3162534[[#This Row],[Salario Neto]]</f>
        <v>390</v>
      </c>
      <c r="N142" s="206">
        <f t="shared" si="8"/>
        <v>187.5</v>
      </c>
      <c r="O142" s="206"/>
      <c r="P142" s="210">
        <f>Tabla5121314_3162534[[#This Row],[Sal. Dev]]-Tabla5121314_3162534[[#This Row],[Ausencias]]+Tabla5121314_3162534[[#This Row],[pago x vacaciones]]-Tabla5121314_3162534[[#This Row],[importe Seg Social]]-Tabla5121314_3162534[[#This Row],[Imp. Sobr. Ing. Per 3% (3260.00-9510.00)]]</f>
        <v>7222.5</v>
      </c>
    </row>
    <row r="143" spans="1:34" ht="57" customHeight="1">
      <c r="A143" s="278">
        <v>70</v>
      </c>
      <c r="B143" s="280" t="str">
        <f>VLOOKUP(Tabla5121314_3162534[[#This Row],[No. Exp]],Tabla6[],2)</f>
        <v>Juan Carlos Pérez Morales</v>
      </c>
      <c r="C143" s="211" t="str">
        <f>VLOOKUP(Tabla5121314_3162534[[#This Row],[No. Exp]],Tabla6[],3)</f>
        <v>97101013044</v>
      </c>
      <c r="D143" s="206">
        <v>192</v>
      </c>
      <c r="E143" s="281">
        <f>VLOOKUP(Tabla5121314_3162534[[#This Row],[No. Exp]],Tabla6[],5)</f>
        <v>40.625</v>
      </c>
      <c r="F143" s="281">
        <f>ROUND(Tabla5121314_3162534[[#This Row],[Horas trabajadas]]*Tabla5121314_3162534[[#This Row],[Tarifas x horas]],0)</f>
        <v>7800</v>
      </c>
      <c r="G143" s="213"/>
      <c r="H143" s="281">
        <f>Tabla5121314_3162534[[#This Row],[A Cobrar]]+Tabla5121314_3162534[[#This Row],[Bonif]]</f>
        <v>7800</v>
      </c>
      <c r="I143" s="213"/>
      <c r="J143" s="209"/>
      <c r="K143" s="207" cm="1">
        <f t="array" ref="K143">MMULT(Tabla5121314_3162534[[#This Row],[Tarifas x horas]],8)*Tabla5121314_3162534[[#This Row],[Vacaciones]]</f>
        <v>0</v>
      </c>
      <c r="L143" s="206">
        <f>Tabla5121314_3162534[[#This Row],[Sal. Dev]]-Tabla5121314_3162534[[#This Row],[Ausencias]]+Tabla5121314_3162534[[#This Row],[pago x vacaciones]]</f>
        <v>7800</v>
      </c>
      <c r="M143" s="207">
        <f>5%*Tabla5121314_3162534[[#This Row],[Salario Neto]]</f>
        <v>390</v>
      </c>
      <c r="N143" s="206">
        <f t="shared" si="8"/>
        <v>187.5</v>
      </c>
      <c r="O143" s="206"/>
      <c r="P143" s="210">
        <f>Tabla5121314_3162534[[#This Row],[Sal. Dev]]-Tabla5121314_3162534[[#This Row],[Ausencias]]+Tabla5121314_3162534[[#This Row],[pago x vacaciones]]-Tabla5121314_3162534[[#This Row],[importe Seg Social]]-Tabla5121314_3162534[[#This Row],[Imp. Sobr. Ing. Per 3% (3260.00-9510.00)]]</f>
        <v>7222.5</v>
      </c>
    </row>
    <row r="144" spans="1:34" ht="58.3" customHeight="1">
      <c r="A144" s="278">
        <v>71</v>
      </c>
      <c r="B144" s="280" t="str">
        <f>VLOOKUP(Tabla5121314_3162534[[#This Row],[No. Exp]],Tabla6[],2)</f>
        <v>Andrea Otero Díaz</v>
      </c>
      <c r="C144" s="211" t="str">
        <f>VLOOKUP(Tabla5121314_3162534[[#This Row],[No. Exp]],Tabla6[],3)</f>
        <v>70021324130</v>
      </c>
      <c r="D144" s="206">
        <v>192</v>
      </c>
      <c r="E144" s="281">
        <f>VLOOKUP(Tabla5121314_3162534[[#This Row],[No. Exp]],Tabla6[],5)</f>
        <v>39.06</v>
      </c>
      <c r="F144" s="281">
        <f>ROUND(Tabla5121314_3162534[[#This Row],[Horas trabajadas]]*Tabla5121314_3162534[[#This Row],[Tarifas x horas]],0)</f>
        <v>7500</v>
      </c>
      <c r="G144" s="213"/>
      <c r="H144" s="281">
        <f>Tabla5121314_3162534[[#This Row],[A Cobrar]]+Tabla5121314_3162534[[#This Row],[Bonif]]</f>
        <v>7500</v>
      </c>
      <c r="I144" s="213"/>
      <c r="J144" s="209"/>
      <c r="K144" s="207" cm="1">
        <f t="array" ref="K144">MMULT(Tabla5121314_3162534[[#This Row],[Tarifas x horas]],8)*Tabla5121314_3162534[[#This Row],[Vacaciones]]</f>
        <v>0</v>
      </c>
      <c r="L144" s="206">
        <f>Tabla5121314_3162534[[#This Row],[Sal. Dev]]-Tabla5121314_3162534[[#This Row],[Ausencias]]+Tabla5121314_3162534[[#This Row],[pago x vacaciones]]</f>
        <v>7500</v>
      </c>
      <c r="M144" s="207">
        <f>5%*Tabla5121314_3162534[[#This Row],[Salario Neto]]</f>
        <v>375</v>
      </c>
      <c r="N144" s="206">
        <f t="shared" si="8"/>
        <v>187.5</v>
      </c>
      <c r="O144" s="206"/>
      <c r="P144" s="210">
        <f>Tabla5121314_3162534[[#This Row],[Sal. Dev]]-Tabla5121314_3162534[[#This Row],[Ausencias]]+Tabla5121314_3162534[[#This Row],[pago x vacaciones]]-Tabla5121314_3162534[[#This Row],[importe Seg Social]]-Tabla5121314_3162534[[#This Row],[Imp. Sobr. Ing. Per 3% (3260.00-9510.00)]]</f>
        <v>6937.5</v>
      </c>
    </row>
    <row r="145" spans="1:16" ht="59.6" customHeight="1">
      <c r="A145" s="211">
        <v>97</v>
      </c>
      <c r="B145" s="280" t="str">
        <f>VLOOKUP(Tabla5121314_3162534[[#This Row],[No. Exp]],Tabla6[],2)</f>
        <v xml:space="preserve">Linier Lazo Camero </v>
      </c>
      <c r="C145" s="211">
        <f>VLOOKUP(Tabla5121314_3162534[[#This Row],[No. Exp]],Tabla6[],3)</f>
        <v>92032937021</v>
      </c>
      <c r="D145" s="206">
        <v>192</v>
      </c>
      <c r="E145" s="281">
        <f>VLOOKUP(Tabla5121314_3162534[[#This Row],[No. Exp]],Tabla6[],5)</f>
        <v>40.625</v>
      </c>
      <c r="F145" s="281">
        <f>ROUND(Tabla5121314_3162534[[#This Row],[Horas trabajadas]]*Tabla5121314_3162534[[#This Row],[Tarifas x horas]],0)</f>
        <v>7800</v>
      </c>
      <c r="G145" s="213"/>
      <c r="H145" s="281">
        <f>Tabla5121314_3162534[[#This Row],[A Cobrar]]+Tabla5121314_3162534[[#This Row],[Bonif]]</f>
        <v>7800</v>
      </c>
      <c r="I145" s="213"/>
      <c r="J145" s="209"/>
      <c r="K145" s="207" cm="1">
        <f t="array" ref="K145">MMULT(Tabla5121314_3162534[[#This Row],[Tarifas x horas]],8)*Tabla5121314_3162534[[#This Row],[Vacaciones]]</f>
        <v>0</v>
      </c>
      <c r="L145" s="206">
        <f>Tabla5121314_3162534[[#This Row],[Sal. Dev]]-Tabla5121314_3162534[[#This Row],[Ausencias]]+Tabla5121314_3162534[[#This Row],[pago x vacaciones]]</f>
        <v>7800</v>
      </c>
      <c r="M145" s="207">
        <f>5%*Tabla5121314_3162534[[#This Row],[Salario Neto]]</f>
        <v>390</v>
      </c>
      <c r="N145" s="206">
        <f t="shared" si="8"/>
        <v>187.5</v>
      </c>
      <c r="O145" s="206"/>
      <c r="P145" s="210">
        <f>Tabla5121314_3162534[[#This Row],[Sal. Dev]]-Tabla5121314_3162534[[#This Row],[Ausencias]]+Tabla5121314_3162534[[#This Row],[pago x vacaciones]]-Tabla5121314_3162534[[#This Row],[importe Seg Social]]-Tabla5121314_3162534[[#This Row],[Imp. Sobr. Ing. Per 3% (3260.00-9510.00)]]</f>
        <v>7222.5</v>
      </c>
    </row>
    <row r="146" spans="1:16" ht="66.45" customHeight="1">
      <c r="A146" s="211">
        <v>99</v>
      </c>
      <c r="B146" s="280" t="str">
        <f>VLOOKUP(Tabla5121314_3162534[[#This Row],[No. Exp]],Tabla6[],2)</f>
        <v>Rachel Martell Salabarria</v>
      </c>
      <c r="C146" s="211">
        <f>VLOOKUP(Tabla5121314_3162534[[#This Row],[No. Exp]],Tabla6[],3)</f>
        <v>97091913233</v>
      </c>
      <c r="D146" s="206">
        <v>192</v>
      </c>
      <c r="E146" s="281">
        <f>VLOOKUP(Tabla5121314_3162534[[#This Row],[No. Exp]],Tabla6[],5)</f>
        <v>41.665999999999997</v>
      </c>
      <c r="F146" s="281">
        <f>ROUND(Tabla5121314_3162534[[#This Row],[Horas trabajadas]]*Tabla5121314_3162534[[#This Row],[Tarifas x horas]],0)</f>
        <v>8000</v>
      </c>
      <c r="G146" s="213"/>
      <c r="H146" s="281">
        <f>Tabla5121314_3162534[[#This Row],[A Cobrar]]+Tabla5121314_3162534[[#This Row],[Bonif]]</f>
        <v>8000</v>
      </c>
      <c r="I146" s="213"/>
      <c r="J146" s="209"/>
      <c r="K146" s="207" cm="1">
        <f t="array" ref="K146">MMULT(Tabla5121314_3162534[[#This Row],[Tarifas x horas]],8)*Tabla5121314_3162534[[#This Row],[Vacaciones]]</f>
        <v>0</v>
      </c>
      <c r="L146" s="206">
        <f>Tabla5121314_3162534[[#This Row],[Sal. Dev]]-Tabla5121314_3162534[[#This Row],[Ausencias]]+Tabla5121314_3162534[[#This Row],[pago x vacaciones]]</f>
        <v>8000</v>
      </c>
      <c r="M146" s="207">
        <f>5%*Tabla5121314_3162534[[#This Row],[Salario Neto]]</f>
        <v>400</v>
      </c>
      <c r="N146" s="206">
        <f t="shared" si="8"/>
        <v>187.5</v>
      </c>
      <c r="O146" s="206"/>
      <c r="P146" s="210">
        <f>Tabla5121314_3162534[[#This Row],[Sal. Dev]]-Tabla5121314_3162534[[#This Row],[Ausencias]]+Tabla5121314_3162534[[#This Row],[pago x vacaciones]]-Tabla5121314_3162534[[#This Row],[importe Seg Social]]-Tabla5121314_3162534[[#This Row],[Imp. Sobr. Ing. Per 3% (3260.00-9510.00)]]</f>
        <v>7412.5</v>
      </c>
    </row>
    <row r="147" spans="1:16" ht="58.3" customHeight="1">
      <c r="A147" s="211">
        <v>125</v>
      </c>
      <c r="B147" s="280" t="str">
        <f>VLOOKUP(Tabla5121314_3162534[[#This Row],[No. Exp]],Tabla6[],2)</f>
        <v xml:space="preserve">Juan Ramón Alonso Benítez </v>
      </c>
      <c r="C147" s="211">
        <f>VLOOKUP(Tabla5121314_3162534[[#This Row],[No. Exp]],Tabla6[],3)</f>
        <v>61102003523</v>
      </c>
      <c r="D147" s="206">
        <v>192</v>
      </c>
      <c r="E147" s="281">
        <f>VLOOKUP(Tabla5121314_3162534[[#This Row],[No. Exp]],Tabla6[],5)</f>
        <v>40.103999999999999</v>
      </c>
      <c r="F147" s="281">
        <f>ROUND(Tabla5121314_3162534[[#This Row],[Horas trabajadas]]*Tabla5121314_3162534[[#This Row],[Tarifas x horas]],0)</f>
        <v>7700</v>
      </c>
      <c r="G147" s="213"/>
      <c r="H147" s="281">
        <f>Tabla5121314_3162534[[#This Row],[A Cobrar]]+Tabla5121314_3162534[[#This Row],[Bonif]]</f>
        <v>7700</v>
      </c>
      <c r="I147" s="213"/>
      <c r="J147" s="209"/>
      <c r="K147" s="207" cm="1">
        <f t="array" ref="K147">MMULT(Tabla5121314_3162534[[#This Row],[Tarifas x horas]],8)*Tabla5121314_3162534[[#This Row],[Vacaciones]]</f>
        <v>0</v>
      </c>
      <c r="L147" s="206">
        <f>Tabla5121314_3162534[[#This Row],[Sal. Dev]]-Tabla5121314_3162534[[#This Row],[Ausencias]]+Tabla5121314_3162534[[#This Row],[pago x vacaciones]]</f>
        <v>7700</v>
      </c>
      <c r="M147" s="207">
        <f>5%*Tabla5121314_3162534[[#This Row],[Salario Neto]]</f>
        <v>385</v>
      </c>
      <c r="N147" s="206">
        <f t="shared" si="8"/>
        <v>187.5</v>
      </c>
      <c r="O147" s="206"/>
      <c r="P147" s="210">
        <f>Tabla5121314_3162534[[#This Row],[Sal. Dev]]-Tabla5121314_3162534[[#This Row],[Ausencias]]+Tabla5121314_3162534[[#This Row],[pago x vacaciones]]-Tabla5121314_3162534[[#This Row],[importe Seg Social]]-Tabla5121314_3162534[[#This Row],[Imp. Sobr. Ing. Per 3% (3260.00-9510.00)]]</f>
        <v>7127.5</v>
      </c>
    </row>
    <row r="148" spans="1:16">
      <c r="D148" s="149"/>
      <c r="E148" s="156"/>
      <c r="J148" s="143"/>
      <c r="K148" s="148"/>
      <c r="L148" s="148"/>
      <c r="M148" s="148"/>
      <c r="N148" s="149"/>
      <c r="O148" s="157"/>
    </row>
    <row r="149" spans="1:16">
      <c r="A149" s="155"/>
      <c r="D149" s="149"/>
      <c r="E149" s="156"/>
      <c r="F149" s="159"/>
      <c r="H149" s="144"/>
      <c r="J149" s="143"/>
      <c r="K149" s="148"/>
      <c r="L149" s="148"/>
      <c r="M149" s="148"/>
      <c r="N149" s="149"/>
      <c r="O149" s="151"/>
    </row>
    <row r="150" spans="1:16">
      <c r="A150" s="155"/>
      <c r="D150" s="149"/>
      <c r="E150" s="156"/>
      <c r="F150" s="159"/>
      <c r="H150" s="144"/>
      <c r="J150" s="143"/>
      <c r="K150" s="148"/>
      <c r="L150" s="148"/>
      <c r="M150" s="148"/>
      <c r="N150" s="149"/>
      <c r="O150" s="151"/>
    </row>
    <row r="151" spans="1:16">
      <c r="A151" s="155"/>
      <c r="D151" s="149"/>
      <c r="E151" s="156"/>
      <c r="F151" s="159"/>
      <c r="H151" s="144"/>
      <c r="J151" s="143"/>
      <c r="K151" s="148"/>
      <c r="L151" s="148"/>
      <c r="M151" s="148"/>
      <c r="N151" s="149"/>
      <c r="O151" s="151"/>
    </row>
    <row r="152" spans="1:16" ht="26.15" customHeight="1">
      <c r="A152" s="155"/>
      <c r="C152" s="277"/>
      <c r="D152" s="149"/>
      <c r="E152" s="156"/>
      <c r="F152" s="159"/>
      <c r="H152" s="144"/>
      <c r="J152" s="143"/>
      <c r="K152" s="148"/>
      <c r="L152" s="148"/>
      <c r="M152" s="148"/>
      <c r="N152" s="149"/>
      <c r="O152" s="151"/>
    </row>
    <row r="153" spans="1:16" ht="26.15" customHeight="1">
      <c r="A153" s="155"/>
      <c r="B153" s="277"/>
      <c r="C153" s="277"/>
      <c r="D153" s="149"/>
      <c r="E153" s="156"/>
      <c r="F153" s="159"/>
      <c r="H153" s="144"/>
      <c r="J153" s="143"/>
      <c r="K153" s="148"/>
      <c r="L153" s="148"/>
      <c r="M153" s="148"/>
      <c r="N153" s="149"/>
      <c r="O153" s="151"/>
    </row>
    <row r="154" spans="1:16" ht="26.15" customHeight="1">
      <c r="A154" s="155"/>
      <c r="B154" s="277"/>
      <c r="C154" s="277"/>
      <c r="D154" s="149"/>
      <c r="E154" s="156"/>
      <c r="F154" s="159"/>
      <c r="H154" s="144"/>
      <c r="J154" s="143"/>
      <c r="K154" s="148"/>
      <c r="L154" s="148"/>
      <c r="M154" s="148"/>
      <c r="N154" s="149"/>
      <c r="O154" s="151"/>
    </row>
    <row r="155" spans="1:16" ht="26.15" customHeight="1">
      <c r="A155" s="155"/>
      <c r="B155" s="277" t="s">
        <v>208</v>
      </c>
      <c r="C155" s="277"/>
      <c r="D155" s="149"/>
      <c r="E155" s="156"/>
      <c r="F155" s="159"/>
      <c r="H155" s="144"/>
      <c r="J155" s="143"/>
      <c r="K155" s="148"/>
      <c r="L155" s="148"/>
      <c r="M155" s="148"/>
      <c r="N155" s="149"/>
      <c r="O155" s="151"/>
    </row>
    <row r="156" spans="1:16">
      <c r="A156" s="174"/>
      <c r="B156" s="174"/>
      <c r="C156" s="174"/>
      <c r="D156" s="174"/>
      <c r="E156" s="174"/>
      <c r="F156" s="195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</row>
    <row r="157" spans="1:16" ht="45.45">
      <c r="A157" s="459" t="s">
        <v>0</v>
      </c>
      <c r="B157" s="459"/>
      <c r="C157" s="180"/>
      <c r="D157" s="180"/>
      <c r="E157" s="174"/>
      <c r="F157" s="174"/>
      <c r="G157" s="174"/>
      <c r="H157" s="174"/>
      <c r="I157" s="181" t="s">
        <v>1</v>
      </c>
      <c r="J157" s="181" t="s">
        <v>2</v>
      </c>
      <c r="K157" s="182">
        <f>K127</f>
        <v>45901</v>
      </c>
      <c r="L157" s="183" t="s">
        <v>3</v>
      </c>
      <c r="M157" s="182">
        <f>M127</f>
        <v>45930</v>
      </c>
      <c r="N157" s="181"/>
      <c r="O157" s="174"/>
      <c r="P157" s="174"/>
    </row>
    <row r="158" spans="1:16">
      <c r="A158" s="460" t="s">
        <v>4</v>
      </c>
      <c r="B158" s="460"/>
      <c r="C158" s="184" t="str">
        <f>C128</f>
        <v>Amanda Marcano Bahler</v>
      </c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</row>
    <row r="159" spans="1:16">
      <c r="A159" s="460" t="s">
        <v>5</v>
      </c>
      <c r="B159" s="460"/>
      <c r="C159" s="185"/>
      <c r="D159" s="174"/>
      <c r="E159" s="174"/>
      <c r="F159" s="174"/>
      <c r="G159" s="174"/>
      <c r="H159" s="174"/>
      <c r="I159" s="174"/>
      <c r="J159" s="174"/>
      <c r="K159" s="174"/>
      <c r="L159" s="174" t="s">
        <v>207</v>
      </c>
      <c r="M159" s="184">
        <v>192</v>
      </c>
      <c r="N159" s="174"/>
      <c r="O159" s="174"/>
      <c r="P159" s="174"/>
    </row>
    <row r="160" spans="1:16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</row>
    <row r="161" spans="1:18">
      <c r="A161" s="464" t="s">
        <v>7</v>
      </c>
      <c r="B161" s="464"/>
      <c r="C161" s="186" t="s">
        <v>22</v>
      </c>
      <c r="D161" s="174"/>
      <c r="E161" s="174"/>
      <c r="F161" s="174"/>
      <c r="G161" s="174"/>
      <c r="H161" s="174"/>
      <c r="I161" s="174"/>
      <c r="J161" s="174"/>
      <c r="K161" s="174"/>
      <c r="L161" s="460" t="s">
        <v>9</v>
      </c>
      <c r="M161" s="460"/>
      <c r="N161" s="174"/>
      <c r="O161" s="174"/>
      <c r="P161" s="174"/>
    </row>
    <row r="162" spans="1:18" s="152" customFormat="1" ht="76.3" customHeight="1">
      <c r="A162" s="198" t="s">
        <v>10</v>
      </c>
      <c r="B162" s="198" t="s">
        <v>11</v>
      </c>
      <c r="C162" s="198" t="s">
        <v>12</v>
      </c>
      <c r="D162" s="198" t="s">
        <v>201</v>
      </c>
      <c r="E162" s="198" t="s">
        <v>200</v>
      </c>
      <c r="F162" s="198" t="s">
        <v>13</v>
      </c>
      <c r="G162" s="198" t="s">
        <v>14</v>
      </c>
      <c r="H162" s="199" t="s">
        <v>15</v>
      </c>
      <c r="I162" s="198" t="s">
        <v>197</v>
      </c>
      <c r="J162" s="198" t="s">
        <v>9</v>
      </c>
      <c r="K162" s="198" t="s">
        <v>16</v>
      </c>
      <c r="L162" s="198" t="s">
        <v>196</v>
      </c>
      <c r="M162" s="198" t="s">
        <v>194</v>
      </c>
      <c r="N162" s="198" t="s">
        <v>240</v>
      </c>
      <c r="O162" s="198" t="s">
        <v>241</v>
      </c>
      <c r="P162" s="199" t="s">
        <v>191</v>
      </c>
      <c r="Q162" s="140"/>
      <c r="R162" s="161"/>
    </row>
    <row r="163" spans="1:18" ht="67.3" customHeight="1">
      <c r="A163" s="292">
        <v>73</v>
      </c>
      <c r="B163" s="293" t="str">
        <f>VLOOKUP(Tabla5121314_34172635[[#This Row],[No. Exp]],Tabla6[],2)</f>
        <v>Rafael Tamarit Duany</v>
      </c>
      <c r="C163" s="292">
        <f>VLOOKUP(Tabla5121314_34172635[[#This Row],[No. Exp]],Tabla6[],3)</f>
        <v>91061428505</v>
      </c>
      <c r="D163" s="294">
        <v>192</v>
      </c>
      <c r="E163" s="294">
        <f>VLOOKUP(Tabla5121314_34172635[[#This Row],[No. Exp]],Tabla6[],5)</f>
        <v>40.103999999999999</v>
      </c>
      <c r="F163" s="294">
        <f>ROUND(Tabla5121314_34172635[[#This Row],[Horas trabajadas]]*Tabla5121314_34172635[[#This Row],[Tarifas x Horas]],0)</f>
        <v>7700</v>
      </c>
      <c r="G163" s="294"/>
      <c r="H163" s="294">
        <f>Tabla5121314_34172635[[#This Row],[A Cobrar]]+Tabla5121314_34172635[[#This Row],[Bonif]]</f>
        <v>7700</v>
      </c>
      <c r="I163" s="295"/>
      <c r="J163" s="296"/>
      <c r="K163" s="297">
        <f>Tabla5121314_34172635[[#This Row],[Sal. Dev]]/24*Tabla5121314_34172635[[#This Row],[Vacaciones]]</f>
        <v>0</v>
      </c>
      <c r="L163" s="294">
        <f>Tabla5121314_34172635[[#This Row],[Sal. Dev]]-Tabla5121314_34172635[[#This Row],[Ausencias]]+Tabla5121314_34172635[[#This Row],[pago x vacaciones]]</f>
        <v>7700</v>
      </c>
      <c r="M163" s="294">
        <f>5%*Tabla5121314_34172635[[#This Row],[Salario Neto]]</f>
        <v>385</v>
      </c>
      <c r="N163" s="294">
        <f>(9510-3260)*3%</f>
        <v>187.5</v>
      </c>
      <c r="O163" s="294"/>
      <c r="P163" s="298">
        <f>Tabla5121314_34172635[[#This Row],[Sal. Dev]]-Tabla5121314_34172635[[#This Row],[Ausencias]]+Tabla5121314_34172635[[#This Row],[pago x vacaciones]]-Tabla5121314_34172635[[#This Row],[importe Seg Social]]-Tabla5121314_34172635[[#This Row],[Imp. Sobr. Ing. Per 3% (3260.00-9510.00)]]</f>
        <v>7127.5</v>
      </c>
    </row>
    <row r="164" spans="1:18" ht="56.15" customHeight="1">
      <c r="A164" s="292">
        <v>74</v>
      </c>
      <c r="B164" s="293" t="str">
        <f>VLOOKUP(Tabla5121314_34172635[[#This Row],[No. Exp]],Tabla6[],2)</f>
        <v>Adriel Agramonte Bernaldes</v>
      </c>
      <c r="C164" s="292" t="str">
        <f>VLOOKUP(Tabla5121314_34172635[[#This Row],[No. Exp]],Tabla6[],3)</f>
        <v>84072608329</v>
      </c>
      <c r="D164" s="294">
        <v>192</v>
      </c>
      <c r="E164" s="294">
        <f>VLOOKUP(Tabla5121314_34172635[[#This Row],[No. Exp]],Tabla6[],5)</f>
        <v>41.145000000000003</v>
      </c>
      <c r="F164" s="294">
        <f>ROUND(Tabla5121314_34172635[[#This Row],[Horas trabajadas]]*Tabla5121314_34172635[[#This Row],[Tarifas x Horas]],0)</f>
        <v>7900</v>
      </c>
      <c r="G164" s="294"/>
      <c r="H164" s="294">
        <f>Tabla5121314_34172635[[#This Row],[A Cobrar]]+Tabla5121314_34172635[[#This Row],[Bonif]]</f>
        <v>7900</v>
      </c>
      <c r="I164" s="295"/>
      <c r="J164" s="296"/>
      <c r="K164" s="299">
        <f>Tabla5121314_34172635[[#This Row],[Sal. Dev]]/24*Tabla5121314_34172635[[#This Row],[Vacaciones]]</f>
        <v>0</v>
      </c>
      <c r="L164" s="294">
        <f>Tabla5121314_34172635[[#This Row],[Sal. Dev]]-Tabla5121314_34172635[[#This Row],[Ausencias]]+Tabla5121314_34172635[[#This Row],[pago x vacaciones]]</f>
        <v>7900</v>
      </c>
      <c r="M164" s="294">
        <f>5%*Tabla5121314_34172635[[#This Row],[Salario Neto]]</f>
        <v>395</v>
      </c>
      <c r="N164" s="294">
        <f t="shared" ref="N164:N175" si="9">(9510-3260)*3%</f>
        <v>187.5</v>
      </c>
      <c r="O164" s="294"/>
      <c r="P164" s="298">
        <f>Tabla5121314_34172635[[#This Row],[Sal. Dev]]-Tabla5121314_34172635[[#This Row],[Ausencias]]+Tabla5121314_34172635[[#This Row],[pago x vacaciones]]-Tabla5121314_34172635[[#This Row],[importe Seg Social]]-Tabla5121314_34172635[[#This Row],[Imp. Sobr. Ing. Per 3% (3260.00-9510.00)]]</f>
        <v>7317.5</v>
      </c>
    </row>
    <row r="165" spans="1:18" ht="74.599999999999994">
      <c r="A165" s="300">
        <v>75</v>
      </c>
      <c r="B165" s="293" t="str">
        <f>VLOOKUP(Tabla5121314_34172635[[#This Row],[No. Exp]],Tabla6[],2)</f>
        <v>Orestes Yamir Domínguez de la Puente</v>
      </c>
      <c r="C165" s="301">
        <f>VLOOKUP(Tabla5121314_34172635[[#This Row],[No. Exp]],Tabla6[],3)</f>
        <v>73041735285</v>
      </c>
      <c r="D165" s="294">
        <v>192</v>
      </c>
      <c r="E165" s="294">
        <f>VLOOKUP(Tabla5121314_34172635[[#This Row],[No. Exp]],Tabla6[],5)</f>
        <v>41.145000000000003</v>
      </c>
      <c r="F165" s="294">
        <f>ROUND(Tabla5121314_34172635[[#This Row],[Horas trabajadas]]*Tabla5121314_34172635[[#This Row],[Tarifas x Horas]],0)</f>
        <v>7900</v>
      </c>
      <c r="G165" s="294"/>
      <c r="H165" s="294">
        <f>Tabla5121314_34172635[[#This Row],[A Cobrar]]+Tabla5121314_34172635[[#This Row],[Bonif]]</f>
        <v>7900</v>
      </c>
      <c r="I165" s="302"/>
      <c r="J165" s="296"/>
      <c r="K165" s="297">
        <f>Tabla5121314_34172635[[#This Row],[Sal. Dev]]/24*Tabla5121314_34172635[[#This Row],[Vacaciones]]</f>
        <v>0</v>
      </c>
      <c r="L165" s="294">
        <f>Tabla5121314_34172635[[#This Row],[Sal. Dev]]-Tabla5121314_34172635[[#This Row],[Ausencias]]+Tabla5121314_34172635[[#This Row],[pago x vacaciones]]</f>
        <v>7900</v>
      </c>
      <c r="M165" s="294">
        <f>5%*Tabla5121314_34172635[[#This Row],[Salario Neto]]</f>
        <v>395</v>
      </c>
      <c r="N165" s="294">
        <f t="shared" si="9"/>
        <v>187.5</v>
      </c>
      <c r="O165" s="294"/>
      <c r="P165" s="298">
        <f>Tabla5121314_34172635[[#This Row],[Sal. Dev]]-Tabla5121314_34172635[[#This Row],[Ausencias]]+Tabla5121314_34172635[[#This Row],[pago x vacaciones]]-Tabla5121314_34172635[[#This Row],[importe Seg Social]]-Tabla5121314_34172635[[#This Row],[Imp. Sobr. Ing. Per 3% (3260.00-9510.00)]]</f>
        <v>7317.5</v>
      </c>
    </row>
    <row r="166" spans="1:18" ht="64.75" customHeight="1">
      <c r="A166" s="300">
        <v>78</v>
      </c>
      <c r="B166" s="293" t="str">
        <f>VLOOKUP(Tabla5121314_34172635[[#This Row],[No. Exp]],Tabla6[],2)</f>
        <v>Ernesto Roque Portal</v>
      </c>
      <c r="C166" s="301">
        <f>VLOOKUP(Tabla5121314_34172635[[#This Row],[No. Exp]],Tabla6[],3)</f>
        <v>89021020183</v>
      </c>
      <c r="D166" s="294">
        <v>192</v>
      </c>
      <c r="E166" s="294">
        <f>VLOOKUP(Tabla5121314_34172635[[#This Row],[No. Exp]],Tabla6[],5)</f>
        <v>41.145000000000003</v>
      </c>
      <c r="F166" s="294">
        <f>ROUND(Tabla5121314_34172635[[#This Row],[Horas trabajadas]]*Tabla5121314_34172635[[#This Row],[Tarifas x Horas]],0)</f>
        <v>7900</v>
      </c>
      <c r="G166" s="294"/>
      <c r="H166" s="294">
        <f>Tabla5121314_34172635[[#This Row],[A Cobrar]]+Tabla5121314_34172635[[#This Row],[Bonif]]</f>
        <v>7900</v>
      </c>
      <c r="I166" s="297"/>
      <c r="J166" s="296"/>
      <c r="K166" s="297">
        <f>Tabla5121314_34172635[[#This Row],[Sal. Dev]]/24*Tabla5121314_34172635[[#This Row],[Vacaciones]]</f>
        <v>0</v>
      </c>
      <c r="L166" s="294">
        <f>Tabla5121314_34172635[[#This Row],[Sal. Dev]]-Tabla5121314_34172635[[#This Row],[Ausencias]]+Tabla5121314_34172635[[#This Row],[pago x vacaciones]]</f>
        <v>7900</v>
      </c>
      <c r="M166" s="294">
        <f>5%*Tabla5121314_34172635[[#This Row],[Salario Neto]]</f>
        <v>395</v>
      </c>
      <c r="N166" s="294">
        <f t="shared" si="9"/>
        <v>187.5</v>
      </c>
      <c r="O166" s="294"/>
      <c r="P166" s="298">
        <f>Tabla5121314_34172635[[#This Row],[Sal. Dev]]-Tabla5121314_34172635[[#This Row],[Ausencias]]+Tabla5121314_34172635[[#This Row],[pago x vacaciones]]-Tabla5121314_34172635[[#This Row],[importe Seg Social]]-Tabla5121314_34172635[[#This Row],[Imp. Sobr. Ing. Per 3% (3260.00-9510.00)]]</f>
        <v>7317.5</v>
      </c>
    </row>
    <row r="167" spans="1:18" ht="67.3" customHeight="1">
      <c r="A167" s="300">
        <v>79</v>
      </c>
      <c r="B167" s="303" t="str">
        <f>VLOOKUP(Tabla5121314_34172635[[#This Row],[No. Exp]],Tabla6[],2)</f>
        <v>Rogelio Catá Limonta</v>
      </c>
      <c r="C167" s="300">
        <f>VLOOKUP(Tabla5121314_34172635[[#This Row],[No. Exp]],Tabla6[],3)</f>
        <v>59021430287</v>
      </c>
      <c r="D167" s="294">
        <v>192</v>
      </c>
      <c r="E167" s="299">
        <f>VLOOKUP(Tabla5121314_34172635[[#This Row],[No. Exp]],Tabla6[],5)</f>
        <v>41.145000000000003</v>
      </c>
      <c r="F167" s="299">
        <f>ROUND(Tabla5121314_34172635[[#This Row],[Horas trabajadas]]*Tabla5121314_34172635[[#This Row],[Tarifas x Horas]],0)</f>
        <v>7900</v>
      </c>
      <c r="G167" s="299"/>
      <c r="H167" s="299">
        <f>Tabla5121314_34172635[[#This Row],[A Cobrar]]+Tabla5121314_34172635[[#This Row],[Bonif]]</f>
        <v>7900</v>
      </c>
      <c r="I167" s="297"/>
      <c r="J167" s="296"/>
      <c r="K167" s="297">
        <f>Tabla5121314_34172635[[#This Row],[Sal. Dev]]/24*Tabla5121314_34172635[[#This Row],[Vacaciones]]</f>
        <v>0</v>
      </c>
      <c r="L167" s="294">
        <f>Tabla5121314_34172635[[#This Row],[Sal. Dev]]-Tabla5121314_34172635[[#This Row],[Ausencias]]+Tabla5121314_34172635[[#This Row],[pago x vacaciones]]</f>
        <v>7900</v>
      </c>
      <c r="M167" s="294">
        <f>5%*Tabla5121314_34172635[[#This Row],[Salario Neto]]</f>
        <v>395</v>
      </c>
      <c r="N167" s="294">
        <f t="shared" si="9"/>
        <v>187.5</v>
      </c>
      <c r="O167" s="294"/>
      <c r="P167" s="298">
        <f>Tabla5121314_34172635[[#This Row],[Sal. Dev]]-Tabla5121314_34172635[[#This Row],[Ausencias]]+Tabla5121314_34172635[[#This Row],[pago x vacaciones]]-Tabla5121314_34172635[[#This Row],[importe Seg Social]]-Tabla5121314_34172635[[#This Row],[Imp. Sobr. Ing. Per 3% (3260.00-9510.00)]]</f>
        <v>7317.5</v>
      </c>
    </row>
    <row r="168" spans="1:18" ht="70.3" customHeight="1">
      <c r="A168" s="300">
        <v>80</v>
      </c>
      <c r="B168" s="303" t="str">
        <f>VLOOKUP(Tabla5121314_34172635[[#This Row],[No. Exp]],Tabla6[],2)</f>
        <v xml:space="preserve">Datney Moreno Romero </v>
      </c>
      <c r="C168" s="300" t="str">
        <f>VLOOKUP(Tabla5121314_34172635[[#This Row],[No. Exp]],Tabla6[],3)</f>
        <v>771117066071</v>
      </c>
      <c r="D168" s="294">
        <v>192</v>
      </c>
      <c r="E168" s="299">
        <f>VLOOKUP(Tabla5121314_34172635[[#This Row],[No. Exp]],Tabla6[],5)</f>
        <v>41.145000000000003</v>
      </c>
      <c r="F168" s="299">
        <f>ROUND(Tabla5121314_34172635[[#This Row],[Horas trabajadas]]*Tabla5121314_34172635[[#This Row],[Tarifas x Horas]],0)</f>
        <v>7900</v>
      </c>
      <c r="G168" s="299"/>
      <c r="H168" s="299">
        <f>Tabla5121314_34172635[[#This Row],[A Cobrar]]+Tabla5121314_34172635[[#This Row],[Bonif]]</f>
        <v>7900</v>
      </c>
      <c r="I168" s="297"/>
      <c r="J168" s="296"/>
      <c r="K168" s="297">
        <f>Tabla5121314_34172635[[#This Row],[Sal. Dev]]/24*Tabla5121314_34172635[[#This Row],[Vacaciones]]</f>
        <v>0</v>
      </c>
      <c r="L168" s="294">
        <f>Tabla5121314_34172635[[#This Row],[Sal. Dev]]-Tabla5121314_34172635[[#This Row],[Ausencias]]+Tabla5121314_34172635[[#This Row],[pago x vacaciones]]</f>
        <v>7900</v>
      </c>
      <c r="M168" s="294">
        <f>5%*Tabla5121314_34172635[[#This Row],[Salario Neto]]</f>
        <v>395</v>
      </c>
      <c r="N168" s="294">
        <f t="shared" si="9"/>
        <v>187.5</v>
      </c>
      <c r="O168" s="294"/>
      <c r="P168" s="298">
        <f>Tabla5121314_34172635[[#This Row],[Sal. Dev]]-Tabla5121314_34172635[[#This Row],[Ausencias]]+Tabla5121314_34172635[[#This Row],[pago x vacaciones]]-Tabla5121314_34172635[[#This Row],[importe Seg Social]]-Tabla5121314_34172635[[#This Row],[Imp. Sobr. Ing. Per 3% (3260.00-9510.00)]]</f>
        <v>7317.5</v>
      </c>
    </row>
    <row r="169" spans="1:18" ht="63.45" customHeight="1">
      <c r="A169" s="300">
        <v>81</v>
      </c>
      <c r="B169" s="303" t="str">
        <f>VLOOKUP(Tabla5121314_34172635[[#This Row],[No. Exp]],Tabla6[],2)</f>
        <v>Enrique Roque Barreras</v>
      </c>
      <c r="C169" s="300">
        <f>VLOOKUP(Tabla5121314_34172635[[#This Row],[No. Exp]],Tabla6[],3)</f>
        <v>62071512741</v>
      </c>
      <c r="D169" s="294">
        <v>192</v>
      </c>
      <c r="E169" s="299">
        <f>VLOOKUP(Tabla5121314_34172635[[#This Row],[No. Exp]],Tabla6[],5)</f>
        <v>41.145000000000003</v>
      </c>
      <c r="F169" s="299">
        <f>ROUND(Tabla5121314_34172635[[#This Row],[Horas trabajadas]]*Tabla5121314_34172635[[#This Row],[Tarifas x Horas]],0)</f>
        <v>7900</v>
      </c>
      <c r="G169" s="299"/>
      <c r="H169" s="299">
        <f>Tabla5121314_34172635[[#This Row],[A Cobrar]]+Tabla5121314_34172635[[#This Row],[Bonif]]</f>
        <v>7900</v>
      </c>
      <c r="I169" s="297"/>
      <c r="J169" s="296"/>
      <c r="K169" s="299">
        <f>Tabla5121314_34172635[[#This Row],[Sal. Dev]]/24*Tabla5121314_34172635[[#This Row],[Vacaciones]]</f>
        <v>0</v>
      </c>
      <c r="L169" s="294">
        <f>Tabla5121314_34172635[[#This Row],[Sal. Dev]]-Tabla5121314_34172635[[#This Row],[Ausencias]]+Tabla5121314_34172635[[#This Row],[pago x vacaciones]]</f>
        <v>7900</v>
      </c>
      <c r="M169" s="294">
        <f>5%*Tabla5121314_34172635[[#This Row],[Salario Neto]]</f>
        <v>395</v>
      </c>
      <c r="N169" s="294">
        <f t="shared" si="9"/>
        <v>187.5</v>
      </c>
      <c r="O169" s="294"/>
      <c r="P169" s="298">
        <f>Tabla5121314_34172635[[#This Row],[Sal. Dev]]-Tabla5121314_34172635[[#This Row],[Ausencias]]+Tabla5121314_34172635[[#This Row],[pago x vacaciones]]-Tabla5121314_34172635[[#This Row],[importe Seg Social]]-Tabla5121314_34172635[[#This Row],[Imp. Sobr. Ing. Per 3% (3260.00-9510.00)]]</f>
        <v>7317.5</v>
      </c>
    </row>
    <row r="170" spans="1:18" ht="62.15" customHeight="1">
      <c r="A170" s="300">
        <v>83</v>
      </c>
      <c r="B170" s="303" t="str">
        <f>VLOOKUP(Tabla5121314_34172635[[#This Row],[No. Exp]],Tabla6[],2)</f>
        <v>José Manuel Azahares Tejeda</v>
      </c>
      <c r="C170" s="300" t="str">
        <f>VLOOKUP(Tabla5121314_34172635[[#This Row],[No. Exp]],Tabla6[],3)</f>
        <v>86090125783</v>
      </c>
      <c r="D170" s="294">
        <v>192</v>
      </c>
      <c r="E170" s="299">
        <f>VLOOKUP(Tabla5121314_34172635[[#This Row],[No. Exp]],Tabla6[],5)</f>
        <v>41.145000000000003</v>
      </c>
      <c r="F170" s="299">
        <f>ROUND(Tabla5121314_34172635[[#This Row],[Horas trabajadas]]*Tabla5121314_34172635[[#This Row],[Tarifas x Horas]],0)</f>
        <v>7900</v>
      </c>
      <c r="G170" s="299"/>
      <c r="H170" s="299">
        <f>Tabla5121314_34172635[[#This Row],[A Cobrar]]+Tabla5121314_34172635[[#This Row],[Bonif]]</f>
        <v>7900</v>
      </c>
      <c r="I170" s="297"/>
      <c r="J170" s="296"/>
      <c r="K170" s="312">
        <f>Tabla5121314_34172635[[#This Row],[Sal. Dev]]/24*Tabla5121314_34172635[[#This Row],[Vacaciones]]</f>
        <v>0</v>
      </c>
      <c r="L170" s="294">
        <f>Tabla5121314_34172635[[#This Row],[Sal. Dev]]-Tabla5121314_34172635[[#This Row],[Ausencias]]+Tabla5121314_34172635[[#This Row],[pago x vacaciones]]</f>
        <v>7900</v>
      </c>
      <c r="M170" s="294">
        <f>5%*Tabla5121314_34172635[[#This Row],[Salario Neto]]</f>
        <v>395</v>
      </c>
      <c r="N170" s="294">
        <f t="shared" si="9"/>
        <v>187.5</v>
      </c>
      <c r="O170" s="294"/>
      <c r="P170" s="298">
        <f>Tabla5121314_34172635[[#This Row],[Sal. Dev]]-Tabla5121314_34172635[[#This Row],[Ausencias]]+Tabla5121314_34172635[[#This Row],[pago x vacaciones]]-Tabla5121314_34172635[[#This Row],[importe Seg Social]]-Tabla5121314_34172635[[#This Row],[Imp. Sobr. Ing. Per 3% (3260.00-9510.00)]]</f>
        <v>7317.5</v>
      </c>
    </row>
    <row r="171" spans="1:18" ht="66" customHeight="1">
      <c r="A171" s="300">
        <v>84</v>
      </c>
      <c r="B171" s="303" t="str">
        <f>VLOOKUP(Tabla5121314_34172635[[#This Row],[No. Exp]],Tabla6[],2)</f>
        <v xml:space="preserve"> Yensy Del Moral Domínguez</v>
      </c>
      <c r="C171" s="300" t="str">
        <f>VLOOKUP(Tabla5121314_34172635[[#This Row],[No. Exp]],Tabla6[],3)</f>
        <v>82080307769</v>
      </c>
      <c r="D171" s="294">
        <v>192</v>
      </c>
      <c r="E171" s="299">
        <f>VLOOKUP(Tabla5121314_34172635[[#This Row],[No. Exp]],Tabla6[],5)</f>
        <v>41.145000000000003</v>
      </c>
      <c r="F171" s="299">
        <f>ROUND(Tabla5121314_34172635[[#This Row],[Horas trabajadas]]*Tabla5121314_34172635[[#This Row],[Tarifas x Horas]],0)</f>
        <v>7900</v>
      </c>
      <c r="G171" s="299"/>
      <c r="H171" s="299">
        <f>Tabla5121314_34172635[[#This Row],[A Cobrar]]+Tabla5121314_34172635[[#This Row],[Bonif]]</f>
        <v>7900</v>
      </c>
      <c r="I171" s="297"/>
      <c r="J171" s="296"/>
      <c r="K171" s="312">
        <f>Tabla5121314_34172635[[#This Row],[Sal. Dev]]/24*Tabla5121314_34172635[[#This Row],[Vacaciones]]</f>
        <v>0</v>
      </c>
      <c r="L171" s="294">
        <f>Tabla5121314_34172635[[#This Row],[Sal. Dev]]-Tabla5121314_34172635[[#This Row],[Ausencias]]+Tabla5121314_34172635[[#This Row],[pago x vacaciones]]</f>
        <v>7900</v>
      </c>
      <c r="M171" s="294">
        <f>5%*Tabla5121314_34172635[[#This Row],[Salario Neto]]</f>
        <v>395</v>
      </c>
      <c r="N171" s="294">
        <f t="shared" si="9"/>
        <v>187.5</v>
      </c>
      <c r="O171" s="294"/>
      <c r="P171" s="298">
        <f>Tabla5121314_34172635[[#This Row],[Sal. Dev]]-Tabla5121314_34172635[[#This Row],[Ausencias]]+Tabla5121314_34172635[[#This Row],[pago x vacaciones]]-Tabla5121314_34172635[[#This Row],[importe Seg Social]]-Tabla5121314_34172635[[#This Row],[Imp. Sobr. Ing. Per 3% (3260.00-9510.00)]]</f>
        <v>7317.5</v>
      </c>
    </row>
    <row r="172" spans="1:18" ht="59.15" customHeight="1">
      <c r="A172" s="300">
        <v>87</v>
      </c>
      <c r="B172" s="303" t="str">
        <f>VLOOKUP(Tabla5121314_34172635[[#This Row],[No. Exp]],Tabla6[],2)</f>
        <v>Osvaldo Yasmany Oro Santiesteban</v>
      </c>
      <c r="C172" s="300" t="str">
        <f>VLOOKUP(Tabla5121314_34172635[[#This Row],[No. Exp]],Tabla6[],3)</f>
        <v>90112141409</v>
      </c>
      <c r="D172" s="294">
        <v>192</v>
      </c>
      <c r="E172" s="299">
        <f>VLOOKUP(Tabla5121314_34172635[[#This Row],[No. Exp]],Tabla6[],5)</f>
        <v>41.145000000000003</v>
      </c>
      <c r="F172" s="299">
        <f>ROUND(Tabla5121314_34172635[[#This Row],[Horas trabajadas]]*Tabla5121314_34172635[[#This Row],[Tarifas x Horas]],0)</f>
        <v>7900</v>
      </c>
      <c r="G172" s="299"/>
      <c r="H172" s="299">
        <f>Tabla5121314_34172635[[#This Row],[A Cobrar]]+Tabla5121314_34172635[[#This Row],[Bonif]]</f>
        <v>7900</v>
      </c>
      <c r="I172" s="297"/>
      <c r="J172" s="296"/>
      <c r="K172" s="312">
        <f>Tabla5121314_34172635[[#This Row],[Sal. Dev]]/24*Tabla5121314_34172635[[#This Row],[Vacaciones]]</f>
        <v>0</v>
      </c>
      <c r="L172" s="294">
        <f>Tabla5121314_34172635[[#This Row],[Sal. Dev]]-Tabla5121314_34172635[[#This Row],[Ausencias]]+Tabla5121314_34172635[[#This Row],[pago x vacaciones]]</f>
        <v>7900</v>
      </c>
      <c r="M172" s="294">
        <f>5%*Tabla5121314_34172635[[#This Row],[Salario Neto]]</f>
        <v>395</v>
      </c>
      <c r="N172" s="294">
        <f t="shared" si="9"/>
        <v>187.5</v>
      </c>
      <c r="O172" s="294"/>
      <c r="P172" s="298">
        <f>Tabla5121314_34172635[[#This Row],[Sal. Dev]]-Tabla5121314_34172635[[#This Row],[Ausencias]]+Tabla5121314_34172635[[#This Row],[pago x vacaciones]]-Tabla5121314_34172635[[#This Row],[importe Seg Social]]-Tabla5121314_34172635[[#This Row],[Imp. Sobr. Ing. Per 3% (3260.00-9510.00)]]</f>
        <v>7317.5</v>
      </c>
    </row>
    <row r="173" spans="1:18" ht="62.15" customHeight="1">
      <c r="A173" s="300">
        <v>88</v>
      </c>
      <c r="B173" s="303" t="str">
        <f>VLOOKUP(Tabla5121314_34172635[[#This Row],[No. Exp]],Tabla6[],2)</f>
        <v>Felix David Del Monte Balbuena</v>
      </c>
      <c r="C173" s="300" t="str">
        <f>VLOOKUP(Tabla5121314_34172635[[#This Row],[No. Exp]],Tabla6[],3)</f>
        <v>96071809627</v>
      </c>
      <c r="D173" s="294">
        <v>192</v>
      </c>
      <c r="E173" s="299">
        <f>VLOOKUP(Tabla5121314_34172635[[#This Row],[No. Exp]],Tabla6[],5)</f>
        <v>41.145000000000003</v>
      </c>
      <c r="F173" s="299">
        <f>ROUND(Tabla5121314_34172635[[#This Row],[Horas trabajadas]]*Tabla5121314_34172635[[#This Row],[Tarifas x Horas]],0)</f>
        <v>7900</v>
      </c>
      <c r="G173" s="299"/>
      <c r="H173" s="299">
        <f>Tabla5121314_34172635[[#This Row],[A Cobrar]]+Tabla5121314_34172635[[#This Row],[Bonif]]</f>
        <v>7900</v>
      </c>
      <c r="I173" s="297"/>
      <c r="J173" s="296"/>
      <c r="K173" s="312">
        <f>Tabla5121314_34172635[[#This Row],[Sal. Dev]]/24*Tabla5121314_34172635[[#This Row],[Vacaciones]]</f>
        <v>0</v>
      </c>
      <c r="L173" s="294">
        <f>Tabla5121314_34172635[[#This Row],[Sal. Dev]]-Tabla5121314_34172635[[#This Row],[Ausencias]]+Tabla5121314_34172635[[#This Row],[pago x vacaciones]]</f>
        <v>7900</v>
      </c>
      <c r="M173" s="294">
        <f>5%*Tabla5121314_34172635[[#This Row],[Salario Neto]]</f>
        <v>395</v>
      </c>
      <c r="N173" s="294">
        <f t="shared" si="9"/>
        <v>187.5</v>
      </c>
      <c r="O173" s="294"/>
      <c r="P173" s="298">
        <f>Tabla5121314_34172635[[#This Row],[Sal. Dev]]-Tabla5121314_34172635[[#This Row],[Ausencias]]+Tabla5121314_34172635[[#This Row],[pago x vacaciones]]-Tabla5121314_34172635[[#This Row],[importe Seg Social]]-Tabla5121314_34172635[[#This Row],[Imp. Sobr. Ing. Per 3% (3260.00-9510.00)]]</f>
        <v>7317.5</v>
      </c>
    </row>
    <row r="174" spans="1:18" s="158" customFormat="1" ht="54" customHeight="1">
      <c r="A174" s="304">
        <v>107</v>
      </c>
      <c r="B174" s="305" t="str">
        <f>VLOOKUP(Tabla5121314_34172635[[#This Row],[No. Exp]],Tabla6[],2)</f>
        <v>Lester Francisco Armas Dieguez</v>
      </c>
      <c r="C174" s="304" t="str">
        <f>VLOOKUP(Tabla5121314_34172635[[#This Row],[No. Exp]],Tabla6[],3)</f>
        <v>00120667441</v>
      </c>
      <c r="D174" s="307">
        <v>192</v>
      </c>
      <c r="E174" s="306">
        <f>VLOOKUP(Tabla5121314_34172635[[#This Row],[No. Exp]],Tabla6[],5)</f>
        <v>41.145000000000003</v>
      </c>
      <c r="F174" s="307">
        <f>ROUND(Tabla5121314_34172635[[#This Row],[Horas trabajadas]]*Tabla5121314_34172635[[#This Row],[Tarifas x Horas]],0)</f>
        <v>7900</v>
      </c>
      <c r="G174" s="307"/>
      <c r="H174" s="307">
        <f>Tabla5121314_34172635[[#This Row],[A Cobrar]]+Tabla5121314_34172635[[#This Row],[Bonif]]</f>
        <v>7900</v>
      </c>
      <c r="I174" s="389"/>
      <c r="J174" s="309">
        <v>5</v>
      </c>
      <c r="K174" s="310">
        <f>1645.76</f>
        <v>1645.76</v>
      </c>
      <c r="L174" s="306">
        <f>Tabla5121314_34172635[[#This Row],[Sal. Dev]]-Tabla5121314_34172635[[#This Row],[Ausencias]]+Tabla5121314_34172635[[#This Row],[pago x vacaciones]]</f>
        <v>9545.76</v>
      </c>
      <c r="M174" s="307">
        <f>5%*Tabla5121314_34172635[[#This Row],[Salario Neto]]</f>
        <v>477.28800000000001</v>
      </c>
      <c r="N174" s="306">
        <f t="shared" si="9"/>
        <v>187.5</v>
      </c>
      <c r="O174" s="306">
        <f>(Tabla5121314_34172635[[#This Row],[Salario Neto]]-9510)*5%</f>
        <v>1.7880000000000109</v>
      </c>
      <c r="P174" s="311">
        <f>Tabla5121314_34172635[[#This Row],[Sal. Dev]]-Tabla5121314_34172635[[#This Row],[Ausencias]]+Tabla5121314_34172635[[#This Row],[pago x vacaciones]]-Tabla5121314_34172635[[#This Row],[importe Seg Social]]-Tabla5121314_34172635[[#This Row],[Imp. Sobr. Ing. Per 3% (3260.00-9510.00)]]</f>
        <v>8880.9719999999998</v>
      </c>
    </row>
    <row r="175" spans="1:18" ht="57.9" customHeight="1">
      <c r="A175" s="300">
        <v>96</v>
      </c>
      <c r="B175" s="303" t="str">
        <f>VLOOKUP(Tabla5121314_34172635[[#This Row],[No. Exp]],Tabla6[],2)</f>
        <v xml:space="preserve">Eriel Martínez Durán </v>
      </c>
      <c r="C175" s="300">
        <f>VLOOKUP(Tabla5121314_34172635[[#This Row],[No. Exp]],Tabla6[],3)</f>
        <v>98022608200</v>
      </c>
      <c r="D175" s="299">
        <v>192</v>
      </c>
      <c r="E175" s="294">
        <f>VLOOKUP(Tabla5121314_34172635[[#This Row],[No. Exp]],Tabla6[],5)</f>
        <v>41.145000000000003</v>
      </c>
      <c r="F175" s="299">
        <f>ROUND(Tabla5121314_34172635[[#This Row],[Horas trabajadas]]*Tabla5121314_34172635[[#This Row],[Tarifas x Horas]],0)</f>
        <v>7900</v>
      </c>
      <c r="G175" s="297"/>
      <c r="H175" s="299">
        <f>Tabla5121314_34172635[[#This Row],[A Cobrar]]+Tabla5121314_34172635[[#This Row],[Bonif]]</f>
        <v>7900</v>
      </c>
      <c r="I175" s="313"/>
      <c r="J175" s="297"/>
      <c r="K175" s="315">
        <f>Tabla5121314_34172635[[#This Row],[Sal. Dev]]/24*Tabla5121314_34172635[[#This Row],[Vacaciones]]</f>
        <v>0</v>
      </c>
      <c r="L175" s="299">
        <f>Tabla5121314_34172635[[#This Row],[Sal. Dev]]-Tabla5121314_34172635[[#This Row],[Ausencias]]</f>
        <v>7900</v>
      </c>
      <c r="M175" s="299">
        <f>5%*Tabla5121314_34172635[[#This Row],[Salario Neto]]</f>
        <v>395</v>
      </c>
      <c r="N175" s="294">
        <f t="shared" si="9"/>
        <v>187.5</v>
      </c>
      <c r="O175" s="294"/>
      <c r="P175" s="313">
        <f>Tabla5121314_34172635[[#This Row],[Sal. Dev]]-Tabla5121314_34172635[[#This Row],[Ausencias]]+Tabla5121314_34172635[[#This Row],[pago x vacaciones]]-Tabla5121314_34172635[[#This Row],[importe Seg Social]]-Tabla5121314_34172635[[#This Row],[Imp. Sobr. Ing. Per 3% (3260.00-9510.00)]]</f>
        <v>7317.5</v>
      </c>
    </row>
    <row r="176" spans="1:18" ht="57.9" customHeight="1">
      <c r="A176" s="300">
        <v>126</v>
      </c>
      <c r="B176" s="303" t="str">
        <f>VLOOKUP(Tabla5121314_34172635[[#This Row],[No. Exp]],Tabla6[],2)</f>
        <v>Alexey Olivera Gómez</v>
      </c>
      <c r="C176" s="300">
        <f>VLOOKUP(Tabla5121314_34172635[[#This Row],[No. Exp]],Tabla6[],3)</f>
        <v>99102702369</v>
      </c>
      <c r="D176" s="299">
        <v>96</v>
      </c>
      <c r="E176" s="294">
        <f>VLOOKUP(Tabla5121314_34172635[[#This Row],[No. Exp]],Tabla6[],5)</f>
        <v>41.145000000000003</v>
      </c>
      <c r="F176" s="299">
        <f>ROUND(Tabla5121314_34172635[[#This Row],[Horas trabajadas]]*Tabla5121314_34172635[[#This Row],[Tarifas x Horas]],0)</f>
        <v>3950</v>
      </c>
      <c r="G176" s="297"/>
      <c r="H176" s="299">
        <f>Tabla5121314_34172635[[#This Row],[A Cobrar]]+Tabla5121314_34172635[[#This Row],[Bonif]]</f>
        <v>3950</v>
      </c>
      <c r="I176" s="313"/>
      <c r="J176" s="297"/>
      <c r="K176" s="315">
        <f>Tabla5121314_34172635[[#This Row],[Sal. Dev]]/24*Tabla5121314_34172635[[#This Row],[Vacaciones]]</f>
        <v>0</v>
      </c>
      <c r="L176" s="299">
        <f>Tabla5121314_34172635[[#This Row],[Sal. Dev]]-Tabla5121314_34172635[[#This Row],[Ausencias]]</f>
        <v>3950</v>
      </c>
      <c r="M176" s="299">
        <f>5%*Tabla5121314_34172635[[#This Row],[Salario Neto]]</f>
        <v>197.5</v>
      </c>
      <c r="N176" s="299">
        <f>(9510-3260)*3%</f>
        <v>187.5</v>
      </c>
      <c r="O176" s="294"/>
      <c r="P176" s="313">
        <f>Tabla5121314_34172635[[#This Row],[Sal. Dev]]-Tabla5121314_34172635[[#This Row],[Ausencias]]+Tabla5121314_34172635[[#This Row],[pago x vacaciones]]-Tabla5121314_34172635[[#This Row],[importe Seg Social]]-Tabla5121314_34172635[[#This Row],[Imp. Sobr. Ing. Per 3% (3260.00-9510.00)]]</f>
        <v>3565</v>
      </c>
    </row>
    <row r="177" spans="1:16" ht="57.9" customHeight="1">
      <c r="A177" s="211"/>
      <c r="B177" s="280"/>
      <c r="C177" s="211"/>
      <c r="D177" s="281"/>
      <c r="E177" s="206"/>
      <c r="F177" s="213"/>
      <c r="G177" s="213"/>
      <c r="H177" s="213"/>
      <c r="I177" s="289"/>
      <c r="J177" s="213"/>
      <c r="K177" s="290"/>
      <c r="L177" s="213"/>
      <c r="M177" s="213"/>
      <c r="N177" s="206"/>
      <c r="O177" s="206"/>
      <c r="P177" s="289"/>
    </row>
    <row r="178" spans="1:16" ht="57.9" customHeight="1">
      <c r="A178" s="211"/>
      <c r="B178" s="280"/>
      <c r="C178" s="211"/>
      <c r="D178" s="281"/>
      <c r="E178" s="206"/>
      <c r="F178" s="213"/>
      <c r="G178" s="213"/>
      <c r="H178" s="213"/>
      <c r="I178" s="289"/>
      <c r="J178" s="213"/>
      <c r="K178" s="290"/>
      <c r="L178" s="213"/>
      <c r="M178" s="213"/>
      <c r="N178" s="206"/>
      <c r="O178" s="206"/>
      <c r="P178" s="289"/>
    </row>
    <row r="179" spans="1:16" ht="57.9" customHeight="1">
      <c r="A179" s="211"/>
      <c r="B179" s="280"/>
      <c r="C179" s="211"/>
      <c r="D179" s="281"/>
      <c r="E179" s="206"/>
      <c r="F179" s="213"/>
      <c r="G179" s="213"/>
      <c r="H179" s="213"/>
      <c r="I179" s="289"/>
      <c r="J179" s="213"/>
      <c r="K179" s="290"/>
      <c r="L179" s="213"/>
      <c r="M179" s="213"/>
      <c r="N179" s="206"/>
      <c r="O179" s="206"/>
      <c r="P179" s="289"/>
    </row>
    <row r="180" spans="1:16" ht="57.9" customHeight="1">
      <c r="A180" s="211"/>
      <c r="B180" s="280"/>
      <c r="C180" s="211"/>
      <c r="D180" s="281"/>
      <c r="E180" s="206"/>
      <c r="F180" s="213"/>
      <c r="G180" s="213"/>
      <c r="H180" s="213"/>
      <c r="I180" s="289"/>
      <c r="J180" s="213"/>
      <c r="K180" s="290"/>
      <c r="L180" s="213"/>
      <c r="M180" s="213"/>
      <c r="N180" s="206"/>
      <c r="O180" s="206"/>
      <c r="P180" s="289"/>
    </row>
    <row r="181" spans="1:16" ht="35.15">
      <c r="A181" s="211"/>
      <c r="B181" s="280"/>
      <c r="C181" s="211"/>
      <c r="D181" s="281"/>
      <c r="E181" s="206"/>
      <c r="F181" s="213"/>
      <c r="G181" s="213"/>
      <c r="H181" s="213"/>
      <c r="I181" s="289"/>
      <c r="J181" s="213"/>
      <c r="K181" s="290"/>
      <c r="L181" s="213"/>
      <c r="M181" s="213"/>
      <c r="N181" s="206"/>
      <c r="O181" s="206"/>
      <c r="P181" s="289"/>
    </row>
    <row r="182" spans="1:16">
      <c r="A182" s="174"/>
      <c r="B182" s="174"/>
      <c r="C182" s="174"/>
      <c r="D182" s="195"/>
      <c r="E182" s="191"/>
      <c r="F182" s="174"/>
      <c r="G182" s="174"/>
      <c r="H182" s="174"/>
      <c r="I182" s="186"/>
      <c r="J182" s="174"/>
      <c r="K182" s="174"/>
      <c r="L182" s="174"/>
      <c r="M182" s="174"/>
      <c r="N182" s="191"/>
      <c r="O182" s="174"/>
      <c r="P182" s="174"/>
    </row>
    <row r="183" spans="1:16" ht="45.45">
      <c r="A183" s="459" t="s">
        <v>0</v>
      </c>
      <c r="B183" s="459"/>
      <c r="C183" s="180"/>
      <c r="D183" s="180"/>
      <c r="E183" s="174"/>
      <c r="F183" s="174"/>
      <c r="G183" s="174"/>
      <c r="H183" s="190"/>
      <c r="I183" s="189" t="s">
        <v>1</v>
      </c>
      <c r="J183" s="189" t="s">
        <v>2</v>
      </c>
      <c r="K183" s="269">
        <f>K157</f>
        <v>45901</v>
      </c>
      <c r="L183" s="270" t="s">
        <v>3</v>
      </c>
      <c r="M183" s="269">
        <f>M157</f>
        <v>45930</v>
      </c>
      <c r="N183" s="181"/>
      <c r="O183" s="174"/>
      <c r="P183" s="174"/>
    </row>
    <row r="184" spans="1:16" ht="27.9">
      <c r="A184" s="469" t="s">
        <v>4</v>
      </c>
      <c r="B184" s="469"/>
      <c r="C184" s="267" t="str">
        <f>C158</f>
        <v>Amanda Marcano Bahler</v>
      </c>
      <c r="D184" s="174"/>
      <c r="E184" s="174"/>
      <c r="F184" s="174"/>
      <c r="G184" s="174"/>
      <c r="H184" s="190"/>
      <c r="I184" s="190"/>
      <c r="J184" s="190"/>
      <c r="K184" s="190"/>
      <c r="L184" s="190"/>
      <c r="M184" s="190"/>
      <c r="N184" s="174"/>
      <c r="O184" s="174"/>
      <c r="P184" s="174"/>
    </row>
    <row r="185" spans="1:16" ht="27.9">
      <c r="A185" s="469" t="s">
        <v>5</v>
      </c>
      <c r="B185" s="469"/>
      <c r="C185" s="268"/>
      <c r="D185" s="174"/>
      <c r="E185" s="174"/>
      <c r="F185" s="174"/>
      <c r="G185" s="174"/>
      <c r="H185" s="190"/>
      <c r="I185" s="190"/>
      <c r="J185" s="190"/>
      <c r="K185" s="190"/>
      <c r="L185" s="190" t="s">
        <v>207</v>
      </c>
      <c r="M185" s="267">
        <v>192</v>
      </c>
      <c r="N185" s="174"/>
      <c r="O185" s="174"/>
      <c r="P185" s="174"/>
    </row>
    <row r="186" spans="1:16" ht="27.9">
      <c r="A186" s="174"/>
      <c r="B186" s="174"/>
      <c r="C186" s="174"/>
      <c r="D186" s="174"/>
      <c r="E186" s="174"/>
      <c r="F186" s="174"/>
      <c r="G186" s="174"/>
      <c r="H186" s="190"/>
      <c r="I186" s="190"/>
      <c r="J186" s="190"/>
      <c r="K186" s="190"/>
      <c r="L186" s="190"/>
      <c r="M186" s="190"/>
      <c r="N186" s="174"/>
      <c r="O186" s="174"/>
      <c r="P186" s="174"/>
    </row>
    <row r="187" spans="1:16" ht="57" customHeight="1">
      <c r="A187" s="464" t="s">
        <v>7</v>
      </c>
      <c r="B187" s="464"/>
      <c r="C187" s="186" t="s">
        <v>224</v>
      </c>
      <c r="D187" s="174"/>
      <c r="E187" s="174"/>
      <c r="F187" s="174"/>
      <c r="G187" s="174"/>
      <c r="H187" s="174"/>
      <c r="I187" s="174"/>
      <c r="J187" s="174"/>
      <c r="K187" s="174"/>
      <c r="L187" s="460" t="s">
        <v>9</v>
      </c>
      <c r="M187" s="460"/>
      <c r="N187" s="174"/>
      <c r="O187" s="174"/>
      <c r="P187" s="174"/>
    </row>
    <row r="188" spans="1:16" ht="62.15" customHeight="1">
      <c r="A188" s="316" t="s">
        <v>10</v>
      </c>
      <c r="B188" s="316" t="s">
        <v>11</v>
      </c>
      <c r="C188" s="316" t="s">
        <v>12</v>
      </c>
      <c r="D188" s="316" t="s">
        <v>201</v>
      </c>
      <c r="E188" s="316" t="s">
        <v>200</v>
      </c>
      <c r="F188" s="316" t="s">
        <v>13</v>
      </c>
      <c r="G188" s="316" t="s">
        <v>14</v>
      </c>
      <c r="H188" s="317" t="s">
        <v>15</v>
      </c>
      <c r="I188" s="316" t="s">
        <v>197</v>
      </c>
      <c r="J188" s="317" t="s">
        <v>9</v>
      </c>
      <c r="K188" s="317" t="s">
        <v>16</v>
      </c>
      <c r="L188" s="316" t="s">
        <v>196</v>
      </c>
      <c r="M188" s="316" t="s">
        <v>194</v>
      </c>
      <c r="N188" s="316" t="s">
        <v>240</v>
      </c>
      <c r="O188" s="316" t="s">
        <v>241</v>
      </c>
      <c r="P188" s="317" t="s">
        <v>191</v>
      </c>
    </row>
    <row r="189" spans="1:16" ht="57.9" customHeight="1">
      <c r="A189" s="300">
        <v>85</v>
      </c>
      <c r="B189" s="318" t="str">
        <f>VLOOKUP(Tabla5121314_3459192837[[#This Row],[No. Exp]],Tabla6[],2)</f>
        <v>Alexis Cabrera Menéndez</v>
      </c>
      <c r="C189" s="301">
        <f>VLOOKUP(Tabla5121314_3459192837[[#This Row],[No. Exp]],Tabla6[],3)</f>
        <v>74032322600</v>
      </c>
      <c r="D189" s="312">
        <f>M185</f>
        <v>192</v>
      </c>
      <c r="E189" s="312">
        <f>VLOOKUP(Tabla5121314_3459192837[[#This Row],[No. Exp]],Tabla6[],5)</f>
        <v>40.103999999999999</v>
      </c>
      <c r="F189" s="294">
        <f>ROUND(Tabla5121314_3459192837[[#This Row],[Horas trabajadas]]*Tabla5121314_3459192837[[#This Row],[Tarifas x Horas]],0)</f>
        <v>7700</v>
      </c>
      <c r="G189" s="294"/>
      <c r="H189" s="294">
        <f>Tabla5121314_3459192837[[#This Row],[A Cobrar]]+Tabla5121314_3459192837[[#This Row],[Bonif]]</f>
        <v>7700</v>
      </c>
      <c r="I189" s="302"/>
      <c r="J189" s="296"/>
      <c r="K189" s="294" cm="1">
        <f t="array" ref="K189">MMULT(Tabla5121314_3459192837[[#This Row],[Tarifas x Horas]],8)*Tabla5121314_3459192837[[#This Row],[Vacaciones]]</f>
        <v>0</v>
      </c>
      <c r="L189" s="294">
        <f>Tabla5121314_3459192837[[#This Row],[Sal. Dev]]-Tabla5121314_3459192837[[#This Row],[Ausencias]]+Tabla5121314_3459192837[[#This Row],[pago x vacaciones]]</f>
        <v>7700</v>
      </c>
      <c r="M189" s="294">
        <f>5%*Tabla5121314_3459192837[[#This Row],[Salario Neto]]</f>
        <v>385</v>
      </c>
      <c r="N189" s="294">
        <v>187.5</v>
      </c>
      <c r="O189" s="294"/>
      <c r="P189" s="298">
        <f>Tabla5121314_3459192837[[#This Row],[Sal. Dev]]-Tabla5121314_3459192837[[#This Row],[Ausencias]]+Tabla5121314_3459192837[[#This Row],[pago x vacaciones]]-Tabla5121314_3459192837[[#This Row],[importe Seg Social]]-Tabla5121314_3459192837[[#This Row],[Imp. Sobr. Ing. Per 3% (3260.00-9510.00)]]</f>
        <v>7127.5</v>
      </c>
    </row>
    <row r="190" spans="1:16" ht="55.3" customHeight="1">
      <c r="A190" s="300">
        <v>86</v>
      </c>
      <c r="B190" s="293" t="str">
        <f>VLOOKUP(Tabla5121314_3459192837[[#This Row],[No. Exp]],Tabla6[],2)</f>
        <v>Ariel Cabrera Menéndez</v>
      </c>
      <c r="C190" s="301">
        <f>VLOOKUP(Tabla5121314_3459192837[[#This Row],[No. Exp]],Tabla6[],3)</f>
        <v>72112711303</v>
      </c>
      <c r="D190" s="312">
        <v>192</v>
      </c>
      <c r="E190" s="294">
        <f>VLOOKUP(Tabla5121314_3459192837[[#This Row],[No. Exp]],Tabla6[],5)</f>
        <v>40.103999999999999</v>
      </c>
      <c r="F190" s="294">
        <f>ROUND(Tabla5121314_3459192837[[#This Row],[Horas trabajadas]]*Tabla5121314_3459192837[[#This Row],[Tarifas x Horas]],0)</f>
        <v>7700</v>
      </c>
      <c r="G190" s="294"/>
      <c r="H190" s="294">
        <f>Tabla5121314_3459192837[[#This Row],[A Cobrar]]+Tabla5121314_3459192837[[#This Row],[Bonif]]</f>
        <v>7700</v>
      </c>
      <c r="I190" s="297"/>
      <c r="J190" s="296"/>
      <c r="K190" s="294" cm="1">
        <f t="array" ref="K190">MMULT(Tabla5121314_3459192837[[#This Row],[Tarifas x Horas]],8)*Tabla5121314_3459192837[[#This Row],[Vacaciones]]</f>
        <v>0</v>
      </c>
      <c r="L190" s="294">
        <f>Tabla5121314_3459192837[[#This Row],[Sal. Dev]]-Tabla5121314_3459192837[[#This Row],[Ausencias]]+Tabla5121314_3459192837[[#This Row],[pago x vacaciones]]</f>
        <v>7700</v>
      </c>
      <c r="M190" s="294">
        <f>5%*Tabla5121314_3459192837[[#This Row],[Salario Neto]]</f>
        <v>385</v>
      </c>
      <c r="N190" s="294">
        <v>187.5</v>
      </c>
      <c r="O190" s="294"/>
      <c r="P190" s="298">
        <f>Tabla5121314_3459192837[[#This Row],[Sal. Dev]]-Tabla5121314_3459192837[[#This Row],[Ausencias]]+Tabla5121314_3459192837[[#This Row],[pago x vacaciones]]-Tabla5121314_3459192837[[#This Row],[importe Seg Social]]-Tabla5121314_3459192837[[#This Row],[Imp. Sobr. Ing. Per 3% (3260.00-9510.00)]]</f>
        <v>7127.5</v>
      </c>
    </row>
    <row r="191" spans="1:16" ht="62.15" customHeight="1">
      <c r="A191" s="300">
        <v>21</v>
      </c>
      <c r="B191" s="303" t="str">
        <f>VLOOKUP(Tabla5121314_3459192837[[#This Row],[No. Exp]],Tabla6[],2)</f>
        <v>Raymel Pérez Hernández</v>
      </c>
      <c r="C191" s="300" t="str">
        <f>VLOOKUP(Tabla5121314_3459192837[[#This Row],[No. Exp]],Tabla6[],3)</f>
        <v>99030806188</v>
      </c>
      <c r="D191" s="312">
        <v>192</v>
      </c>
      <c r="E191" s="294">
        <f>VLOOKUP(Tabla5121314_3459192837[[#This Row],[No. Exp]],Tabla6[],5)</f>
        <v>40.103999999999999</v>
      </c>
      <c r="F191" s="299">
        <f>ROUND(Tabla5121314_3459192837[[#This Row],[Horas trabajadas]]*Tabla5121314_3459192837[[#This Row],[Tarifas x Horas]],0)</f>
        <v>7700</v>
      </c>
      <c r="G191" s="299"/>
      <c r="H191" s="299">
        <f>Tabla5121314_3459192837[[#This Row],[A Cobrar]]+Tabla5121314_3459192837[[#This Row],[Bonif]]</f>
        <v>7700</v>
      </c>
      <c r="I191" s="313"/>
      <c r="J191" s="296"/>
      <c r="K191" s="294" cm="1">
        <f t="array" ref="K191">MMULT(Tabla5121314_3459192837[[#This Row],[Tarifas x Horas]],8)*Tabla5121314_3459192837[[#This Row],[Vacaciones]]</f>
        <v>0</v>
      </c>
      <c r="L191" s="294">
        <f>Tabla5121314_3459192837[[#This Row],[Sal. Dev]]-Tabla5121314_3459192837[[#This Row],[Ausencias]]+Tabla5121314_3459192837[[#This Row],[pago x vacaciones]]</f>
        <v>7700</v>
      </c>
      <c r="M191" s="294">
        <f>5%*Tabla5121314_3459192837[[#This Row],[Salario Neto]]</f>
        <v>385</v>
      </c>
      <c r="N191" s="294">
        <v>187.5</v>
      </c>
      <c r="O191" s="294"/>
      <c r="P191" s="298">
        <f>Tabla5121314_3459192837[[#This Row],[Sal. Dev]]-Tabla5121314_3459192837[[#This Row],[Ausencias]]+Tabla5121314_3459192837[[#This Row],[pago x vacaciones]]-Tabla5121314_3459192837[[#This Row],[importe Seg Social]]-Tabla5121314_3459192837[[#This Row],[Imp. Sobr. Ing. Per 3% (3260.00-9510.00)]]</f>
        <v>7127.5</v>
      </c>
    </row>
    <row r="192" spans="1:16" ht="59.15" customHeight="1">
      <c r="A192" s="300">
        <v>22</v>
      </c>
      <c r="B192" s="303" t="str">
        <f>VLOOKUP(Tabla5121314_3459192837[[#This Row],[No. Exp]],Tabla6[],2)</f>
        <v xml:space="preserve">Amaury Acosta Hernández </v>
      </c>
      <c r="C192" s="300">
        <f>VLOOKUP(Tabla5121314_3459192837[[#This Row],[No. Exp]],Tabla6[],3)</f>
        <v>73111309364</v>
      </c>
      <c r="D192" s="312">
        <v>192</v>
      </c>
      <c r="E192" s="294">
        <f>VLOOKUP(Tabla5121314_3459192837[[#This Row],[No. Exp]],Tabla6[],5)</f>
        <v>40.103999999999999</v>
      </c>
      <c r="F192" s="299">
        <f>ROUND(Tabla5121314_3459192837[[#This Row],[Horas trabajadas]]*Tabla5121314_3459192837[[#This Row],[Tarifas x Horas]],0)</f>
        <v>7700</v>
      </c>
      <c r="G192" s="299"/>
      <c r="H192" s="299">
        <f>Tabla5121314_3459192837[[#This Row],[A Cobrar]]+Tabla5121314_3459192837[[#This Row],[Bonif]]</f>
        <v>7700</v>
      </c>
      <c r="I192" s="313"/>
      <c r="J192" s="296"/>
      <c r="K192" s="294" cm="1">
        <f t="array" ref="K192">MMULT(Tabla5121314_3459192837[[#This Row],[Tarifas x Horas]],8)*Tabla5121314_3459192837[[#This Row],[Vacaciones]]</f>
        <v>0</v>
      </c>
      <c r="L192" s="294">
        <f>Tabla5121314_3459192837[[#This Row],[Sal. Dev]]-Tabla5121314_3459192837[[#This Row],[Ausencias]]+Tabla5121314_3459192837[[#This Row],[pago x vacaciones]]</f>
        <v>7700</v>
      </c>
      <c r="M192" s="294">
        <f>5%*Tabla5121314_3459192837[[#This Row],[Salario Neto]]</f>
        <v>385</v>
      </c>
      <c r="N192" s="294">
        <v>187.5</v>
      </c>
      <c r="O192" s="294"/>
      <c r="P192" s="298">
        <f>Tabla5121314_3459192837[[#This Row],[Sal. Dev]]-Tabla5121314_3459192837[[#This Row],[Ausencias]]+Tabla5121314_3459192837[[#This Row],[pago x vacaciones]]-Tabla5121314_3459192837[[#This Row],[importe Seg Social]]-Tabla5121314_3459192837[[#This Row],[Imp. Sobr. Ing. Per 3% (3260.00-9510.00)]]</f>
        <v>7127.5</v>
      </c>
    </row>
    <row r="193" spans="1:34" ht="68.599999999999994" customHeight="1">
      <c r="A193" s="300">
        <v>23</v>
      </c>
      <c r="B193" s="303" t="str">
        <f>VLOOKUP(Tabla5121314_3459192837[[#This Row],[No. Exp]],Tabla6[],2)</f>
        <v>Bernardo Alfredo Zamora Sánchez</v>
      </c>
      <c r="C193" s="300">
        <f>VLOOKUP(Tabla5121314_3459192837[[#This Row],[No. Exp]],Tabla6[],3)</f>
        <v>63082002294</v>
      </c>
      <c r="D193" s="312">
        <v>192</v>
      </c>
      <c r="E193" s="294">
        <f>VLOOKUP(Tabla5121314_3459192837[[#This Row],[No. Exp]],Tabla6[],5)</f>
        <v>40.103999999999999</v>
      </c>
      <c r="F193" s="299">
        <f>ROUND(Tabla5121314_3459192837[[#This Row],[Horas trabajadas]]*Tabla5121314_3459192837[[#This Row],[Tarifas x Horas]],0)</f>
        <v>7700</v>
      </c>
      <c r="G193" s="299"/>
      <c r="H193" s="299">
        <f>Tabla5121314_3459192837[[#This Row],[A Cobrar]]+Tabla5121314_3459192837[[#This Row],[Bonif]]</f>
        <v>7700</v>
      </c>
      <c r="I193" s="313"/>
      <c r="J193" s="296"/>
      <c r="K193" s="294" cm="1">
        <f t="array" ref="K193">MMULT(Tabla5121314_3459192837[[#This Row],[Tarifas x Horas]],8)*Tabla5121314_3459192837[[#This Row],[Vacaciones]]</f>
        <v>0</v>
      </c>
      <c r="L193" s="294">
        <f>Tabla5121314_3459192837[[#This Row],[Sal. Dev]]-Tabla5121314_3459192837[[#This Row],[Ausencias]]+Tabla5121314_3459192837[[#This Row],[pago x vacaciones]]</f>
        <v>7700</v>
      </c>
      <c r="M193" s="294">
        <f>5%*Tabla5121314_3459192837[[#This Row],[Salario Neto]]</f>
        <v>385</v>
      </c>
      <c r="N193" s="294">
        <v>187.5</v>
      </c>
      <c r="O193" s="294"/>
      <c r="P193" s="298">
        <f>Tabla5121314_3459192837[[#This Row],[Sal. Dev]]-Tabla5121314_3459192837[[#This Row],[Ausencias]]+Tabla5121314_3459192837[[#This Row],[pago x vacaciones]]-Tabla5121314_3459192837[[#This Row],[importe Seg Social]]-Tabla5121314_3459192837[[#This Row],[Imp. Sobr. Ing. Per 3% (3260.00-9510.00)]]</f>
        <v>7127.5</v>
      </c>
    </row>
    <row r="194" spans="1:34" s="154" customFormat="1" ht="74.150000000000006" customHeight="1">
      <c r="A194" s="300">
        <v>24</v>
      </c>
      <c r="B194" s="303" t="str">
        <f>VLOOKUP(Tabla5121314_3459192837[[#This Row],[No. Exp]],Tabla6[],2)</f>
        <v xml:space="preserve">José Zorrilla Aguilar </v>
      </c>
      <c r="C194" s="300">
        <f>VLOOKUP(Tabla5121314_3459192837[[#This Row],[No. Exp]],Tabla6[],3)</f>
        <v>57082706245</v>
      </c>
      <c r="D194" s="312">
        <v>192</v>
      </c>
      <c r="E194" s="294">
        <f>VLOOKUP(Tabla5121314_3459192837[[#This Row],[No. Exp]],Tabla6[],5)</f>
        <v>40.103999999999999</v>
      </c>
      <c r="F194" s="299">
        <f>ROUND(Tabla5121314_3459192837[[#This Row],[Horas trabajadas]]*Tabla5121314_3459192837[[#This Row],[Tarifas x Horas]],0)</f>
        <v>7700</v>
      </c>
      <c r="G194" s="299"/>
      <c r="H194" s="299">
        <f>Tabla5121314_3459192837[[#This Row],[A Cobrar]]+Tabla5121314_3459192837[[#This Row],[Bonif]]</f>
        <v>7700</v>
      </c>
      <c r="I194" s="313"/>
      <c r="J194" s="296"/>
      <c r="K194" s="294" cm="1">
        <f t="array" ref="K194">MMULT(Tabla5121314_3459192837[[#This Row],[Tarifas x Horas]],8)*Tabla5121314_3459192837[[#This Row],[Vacaciones]]</f>
        <v>0</v>
      </c>
      <c r="L194" s="294">
        <f>Tabla5121314_3459192837[[#This Row],[Sal. Dev]]-Tabla5121314_3459192837[[#This Row],[Ausencias]]+Tabla5121314_3459192837[[#This Row],[pago x vacaciones]]</f>
        <v>7700</v>
      </c>
      <c r="M194" s="294">
        <f>5%*Tabla5121314_3459192837[[#This Row],[Salario Neto]]</f>
        <v>385</v>
      </c>
      <c r="N194" s="294">
        <v>187.5</v>
      </c>
      <c r="O194" s="294"/>
      <c r="P194" s="298">
        <f>Tabla5121314_3459192837[[#This Row],[Sal. Dev]]-Tabla5121314_3459192837[[#This Row],[Ausencias]]+Tabla5121314_3459192837[[#This Row],[pago x vacaciones]]-Tabla5121314_3459192837[[#This Row],[importe Seg Social]]-Tabla5121314_3459192837[[#This Row],[Imp. Sobr. Ing. Per 3% (3260.00-9510.00)]]</f>
        <v>7127.5</v>
      </c>
      <c r="Q194" s="140"/>
    </row>
    <row r="195" spans="1:34" ht="70.3" customHeight="1">
      <c r="A195" s="300">
        <v>118</v>
      </c>
      <c r="B195" s="303" t="str">
        <f>VLOOKUP(Tabla5121314_3459192837[[#This Row],[No. Exp]],Tabla6[],2)</f>
        <v>Ivan Agustin Hernandez Gonzalez</v>
      </c>
      <c r="C195" s="300">
        <f>VLOOKUP(Tabla5121314_3459192837[[#This Row],[No. Exp]],Tabla6[],3)</f>
        <v>70050301761</v>
      </c>
      <c r="D195" s="312">
        <v>192</v>
      </c>
      <c r="E195" s="294">
        <f>VLOOKUP(Tabla5121314_3459192837[[#This Row],[No. Exp]],Tabla6[],5)</f>
        <v>40.103999999999999</v>
      </c>
      <c r="F195" s="299">
        <f>ROUND(Tabla5121314_3459192837[[#This Row],[Horas trabajadas]]*Tabla5121314_3459192837[[#This Row],[Tarifas x Horas]],0)</f>
        <v>7700</v>
      </c>
      <c r="G195" s="299"/>
      <c r="H195" s="299">
        <f>Tabla5121314_3459192837[[#This Row],[A Cobrar]]+Tabla5121314_3459192837[[#This Row],[Bonif]]</f>
        <v>7700</v>
      </c>
      <c r="I195" s="313"/>
      <c r="J195" s="296"/>
      <c r="K195" s="294" cm="1">
        <f t="array" ref="K195">MMULT(Tabla5121314_3459192837[[#This Row],[Tarifas x Horas]],8)*Tabla5121314_3459192837[[#This Row],[Vacaciones]]</f>
        <v>0</v>
      </c>
      <c r="L195" s="294">
        <f>Tabla5121314_3459192837[[#This Row],[Sal. Dev]]-Tabla5121314_3459192837[[#This Row],[Ausencias]]+Tabla5121314_3459192837[[#This Row],[pago x vacaciones]]</f>
        <v>7700</v>
      </c>
      <c r="M195" s="294">
        <f>5%*Tabla5121314_3459192837[[#This Row],[Salario Neto]]</f>
        <v>385</v>
      </c>
      <c r="N195" s="294">
        <v>187.5</v>
      </c>
      <c r="O195" s="294"/>
      <c r="P195" s="298">
        <f>Tabla5121314_3459192837[[#This Row],[Sal. Dev]]-Tabla5121314_3459192837[[#This Row],[Ausencias]]+Tabla5121314_3459192837[[#This Row],[pago x vacaciones]]-Tabla5121314_3459192837[[#This Row],[importe Seg Social]]-Tabla5121314_3459192837[[#This Row],[Imp. Sobr. Ing. Per 3% (3260.00-9510.00)]]-Tabla5121314_3459192837[[#This Row],[Imp. Sobr. Ing. Per 5% (9510.00-15000.00)]]</f>
        <v>7127.5</v>
      </c>
    </row>
    <row r="196" spans="1:34" ht="37.299999999999997">
      <c r="A196" s="300"/>
      <c r="B196" s="303"/>
      <c r="C196" s="300"/>
      <c r="D196" s="328"/>
      <c r="E196" s="329"/>
      <c r="F196" s="300"/>
      <c r="G196" s="300"/>
      <c r="H196" s="300"/>
      <c r="I196" s="330"/>
      <c r="J196" s="331"/>
      <c r="K196" s="329"/>
      <c r="L196" s="292"/>
      <c r="M196" s="292"/>
      <c r="N196" s="329"/>
      <c r="O196" s="332"/>
      <c r="P196" s="300"/>
    </row>
    <row r="197" spans="1:34">
      <c r="A197" s="174"/>
      <c r="B197" s="193"/>
      <c r="C197" s="174"/>
      <c r="D197" s="174"/>
      <c r="E197" s="191"/>
      <c r="F197" s="195"/>
      <c r="G197" s="174"/>
      <c r="H197" s="174"/>
      <c r="I197" s="186"/>
      <c r="J197" s="174"/>
      <c r="K197" s="174"/>
      <c r="L197" s="174"/>
      <c r="M197" s="174"/>
      <c r="N197" s="174"/>
      <c r="O197" s="174"/>
      <c r="P197" s="174"/>
    </row>
    <row r="198" spans="1:34" ht="45.45">
      <c r="A198" s="459" t="s">
        <v>0</v>
      </c>
      <c r="B198" s="459"/>
      <c r="C198" s="180"/>
      <c r="D198" s="180"/>
      <c r="E198" s="174"/>
      <c r="F198" s="174"/>
      <c r="G198" s="174"/>
      <c r="H198" s="174"/>
      <c r="I198" s="189" t="s">
        <v>1</v>
      </c>
      <c r="J198" s="189" t="s">
        <v>2</v>
      </c>
      <c r="K198" s="269">
        <f>K183</f>
        <v>45901</v>
      </c>
      <c r="L198" s="270" t="s">
        <v>3</v>
      </c>
      <c r="M198" s="269">
        <f>M183</f>
        <v>45930</v>
      </c>
      <c r="N198" s="181"/>
      <c r="O198" s="174"/>
      <c r="P198" s="174"/>
    </row>
    <row r="199" spans="1:34" ht="27.9">
      <c r="A199" s="469" t="s">
        <v>4</v>
      </c>
      <c r="B199" s="469"/>
      <c r="C199" s="267" t="str">
        <f>C184</f>
        <v>Amanda Marcano Bahler</v>
      </c>
      <c r="D199" s="190"/>
      <c r="E199" s="174"/>
      <c r="F199" s="174"/>
      <c r="G199" s="174"/>
      <c r="H199" s="174"/>
      <c r="I199" s="190"/>
      <c r="J199" s="190"/>
      <c r="K199" s="190"/>
      <c r="L199" s="190"/>
      <c r="M199" s="190"/>
      <c r="N199" s="174"/>
      <c r="O199" s="174"/>
      <c r="P199" s="174"/>
    </row>
    <row r="200" spans="1:34" ht="27.9">
      <c r="A200" s="469" t="s">
        <v>5</v>
      </c>
      <c r="B200" s="469"/>
      <c r="C200" s="268"/>
      <c r="D200" s="190"/>
      <c r="E200" s="174"/>
      <c r="F200" s="174"/>
      <c r="G200" s="174"/>
      <c r="H200" s="174"/>
      <c r="I200" s="190"/>
      <c r="J200" s="190"/>
      <c r="K200" s="190"/>
      <c r="L200" s="190" t="str">
        <f>L159</f>
        <v>horas</v>
      </c>
      <c r="M200" s="267">
        <f>M159</f>
        <v>192</v>
      </c>
      <c r="N200" s="174"/>
      <c r="O200" s="174"/>
      <c r="P200" s="174"/>
    </row>
    <row r="201" spans="1:34" s="152" customFormat="1" ht="27.9">
      <c r="A201" s="190"/>
      <c r="B201" s="190"/>
      <c r="C201" s="190"/>
      <c r="D201" s="190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  <c r="AA201" s="160"/>
      <c r="AB201" s="160"/>
      <c r="AC201" s="160"/>
      <c r="AD201" s="160"/>
      <c r="AE201" s="160"/>
      <c r="AF201" s="140"/>
      <c r="AG201" s="140"/>
      <c r="AH201" s="161"/>
    </row>
    <row r="202" spans="1:34" s="162" customFormat="1" ht="102.45" customHeight="1">
      <c r="A202" s="287" t="s">
        <v>7</v>
      </c>
      <c r="B202" s="287"/>
      <c r="C202" s="186" t="s">
        <v>23</v>
      </c>
      <c r="D202" s="174"/>
      <c r="E202" s="174"/>
      <c r="F202" s="174"/>
      <c r="G202" s="174"/>
      <c r="H202" s="174"/>
      <c r="I202" s="174"/>
      <c r="J202" s="174"/>
      <c r="K202" s="174"/>
      <c r="L202" s="457" t="s">
        <v>9</v>
      </c>
      <c r="M202" s="457"/>
      <c r="N202" s="174"/>
      <c r="O202" s="174"/>
      <c r="P202" s="288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  <c r="AA202" s="160"/>
      <c r="AB202" s="160"/>
      <c r="AC202" s="160"/>
      <c r="AD202" s="160"/>
      <c r="AE202" s="160"/>
      <c r="AF202" s="160"/>
      <c r="AG202" s="140"/>
      <c r="AH202" s="140"/>
    </row>
    <row r="203" spans="1:34" s="154" customFormat="1" ht="56.6" customHeight="1">
      <c r="A203" s="316" t="s">
        <v>10</v>
      </c>
      <c r="B203" s="316" t="s">
        <v>11</v>
      </c>
      <c r="C203" s="316" t="s">
        <v>12</v>
      </c>
      <c r="D203" s="316" t="s">
        <v>201</v>
      </c>
      <c r="E203" s="316" t="s">
        <v>200</v>
      </c>
      <c r="F203" s="316" t="s">
        <v>13</v>
      </c>
      <c r="G203" s="316" t="s">
        <v>14</v>
      </c>
      <c r="H203" s="317" t="s">
        <v>15</v>
      </c>
      <c r="I203" s="316" t="s">
        <v>197</v>
      </c>
      <c r="J203" s="317" t="s">
        <v>9</v>
      </c>
      <c r="K203" s="317" t="s">
        <v>16</v>
      </c>
      <c r="L203" s="316" t="s">
        <v>196</v>
      </c>
      <c r="M203" s="316" t="s">
        <v>194</v>
      </c>
      <c r="N203" s="316" t="s">
        <v>240</v>
      </c>
      <c r="O203" s="333" t="s">
        <v>241</v>
      </c>
      <c r="P203" s="334" t="s">
        <v>191</v>
      </c>
    </row>
    <row r="204" spans="1:34" ht="37.299999999999997">
      <c r="A204" s="390">
        <v>113</v>
      </c>
      <c r="B204" s="301" t="str">
        <f>VLOOKUP(Tabla5121314_345182736[[#This Row],[No. Exp]],Tabla6[],2)</f>
        <v>Nurbi Selma Osoria</v>
      </c>
      <c r="C204" s="301">
        <f>VLOOKUP(Tabla5121314_345182736[[#This Row],[No. Exp]],Tabla6[],3)</f>
        <v>69060615979</v>
      </c>
      <c r="D204" s="328">
        <f>M200</f>
        <v>192</v>
      </c>
      <c r="E204" s="328">
        <f>VLOOKUP(Tabla5121314_345182736[[#This Row],[No. Exp]],Tabla6[],5)</f>
        <v>39.06</v>
      </c>
      <c r="F204" s="292">
        <f>ROUND(Tabla5121314_345182736[[#This Row],[Horas trabajadas]]*Tabla5121314_345182736[[#This Row],[Tarifas x Horas]],0)</f>
        <v>7500</v>
      </c>
      <c r="G204" s="292"/>
      <c r="H204" s="292">
        <f>Tabla5121314_345182736[[#This Row],[A Cobrar]]+Tabla5121314_345182736[[#This Row],[Bonif]]</f>
        <v>7500</v>
      </c>
      <c r="I204" s="345"/>
      <c r="J204" s="331"/>
      <c r="K204" s="329" cm="1">
        <f t="array" ref="K204">MMULT(Tabla5121314_345182736[[#This Row],[Tarifas x Horas]],8)*Tabla5121314_345182736[[#This Row],[Vacaciones]]</f>
        <v>0</v>
      </c>
      <c r="L204" s="292">
        <f>Tabla5121314_345182736[[#This Row],[Sal. Dev]]-Tabla5121314_345182736[[#This Row],[Ausencias]]</f>
        <v>7500</v>
      </c>
      <c r="M204" s="292">
        <f>5%*Tabla5121314_345182736[[#This Row],[Salario Neto]]</f>
        <v>375</v>
      </c>
      <c r="N204" s="329">
        <v>187.5</v>
      </c>
      <c r="O204" s="329"/>
      <c r="P204" s="332">
        <f>Tabla5121314_345182736[[#This Row],[Sal. Dev]]-Tabla5121314_345182736[[#This Row],[Ausencias]]+Tabla5121314_345182736[[#This Row],[pago x vacaciones]]-Tabla5121314_345182736[[#This Row],[importe Seg Social]]-Tabla5121314_345182736[[#This Row],[Imp. Sobr. Ing. Per 3% (3260.00-9510.00)]]</f>
        <v>6937.5</v>
      </c>
    </row>
    <row r="205" spans="1:34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</row>
    <row r="206" spans="1:34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</row>
    <row r="207" spans="1:34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</row>
    <row r="208" spans="1:34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</row>
    <row r="209" spans="1:16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</row>
    <row r="210" spans="1:16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</row>
    <row r="211" spans="1:16">
      <c r="A211" s="174"/>
      <c r="B211" s="266" t="s">
        <v>210</v>
      </c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</row>
    <row r="212" spans="1:16">
      <c r="A212" s="174"/>
      <c r="B212" s="460"/>
      <c r="C212" s="460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</row>
    <row r="213" spans="1:16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</row>
    <row r="214" spans="1:16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</row>
    <row r="215" spans="1:16" ht="106.3" customHeight="1">
      <c r="A215" s="287" t="s">
        <v>7</v>
      </c>
      <c r="B215" s="287"/>
      <c r="C215" s="291" t="s">
        <v>9</v>
      </c>
      <c r="D215" s="174"/>
      <c r="E215" s="174"/>
      <c r="F215" s="174"/>
      <c r="G215" s="174"/>
      <c r="H215" s="174"/>
      <c r="I215" s="174"/>
      <c r="J215" s="174"/>
      <c r="K215" s="174"/>
      <c r="L215" s="457" t="s">
        <v>9</v>
      </c>
      <c r="M215" s="457"/>
      <c r="N215" s="174"/>
      <c r="O215" s="174"/>
      <c r="P215" s="174"/>
    </row>
    <row r="216" spans="1:16" ht="53.6" customHeight="1">
      <c r="A216" s="316" t="s">
        <v>10</v>
      </c>
      <c r="B216" s="316" t="s">
        <v>11</v>
      </c>
      <c r="C216" s="316" t="s">
        <v>12</v>
      </c>
      <c r="D216" s="316" t="s">
        <v>201</v>
      </c>
      <c r="E216" s="316" t="s">
        <v>200</v>
      </c>
      <c r="F216" s="316" t="s">
        <v>13</v>
      </c>
      <c r="G216" s="316" t="s">
        <v>14</v>
      </c>
      <c r="H216" s="317" t="s">
        <v>15</v>
      </c>
      <c r="I216" s="316" t="s">
        <v>197</v>
      </c>
      <c r="J216" s="317" t="s">
        <v>9</v>
      </c>
      <c r="K216" s="317" t="s">
        <v>16</v>
      </c>
      <c r="L216" s="316" t="s">
        <v>196</v>
      </c>
      <c r="M216" s="316" t="s">
        <v>194</v>
      </c>
      <c r="N216" s="316" t="s">
        <v>240</v>
      </c>
      <c r="O216" s="333" t="s">
        <v>241</v>
      </c>
      <c r="P216" s="334" t="s">
        <v>191</v>
      </c>
    </row>
    <row r="217" spans="1:16" ht="61.3" customHeight="1">
      <c r="A217" s="297">
        <v>106</v>
      </c>
      <c r="B217" s="301" t="str">
        <f>VLOOKUP(Tabla5121314_34518202938[[#This Row],[No. Exp]],Tabla6[],2)</f>
        <v>Sujay Karina Prado Montero</v>
      </c>
      <c r="C217" s="301" t="str">
        <f>VLOOKUP(Tabla5121314_34518202938[[#This Row],[No. Exp]],Tabla6[],3)</f>
        <v>01112276730</v>
      </c>
      <c r="D217" s="328">
        <f>M213</f>
        <v>0</v>
      </c>
      <c r="E217" s="328">
        <f>VLOOKUP(Tabla5121314_34518202938[[#This Row],[No. Exp]],Tabla6[],5)</f>
        <v>41.665999999999997</v>
      </c>
      <c r="F217" s="292">
        <f>ROUND(Tabla5121314_34518202938[[#This Row],[Horas trabajadas]]*Tabla5121314_34518202938[[#This Row],[Tarifas x Horas]],0)</f>
        <v>0</v>
      </c>
      <c r="G217" s="292"/>
      <c r="H217" s="292">
        <f>Tabla5121314_34518202938[[#This Row],[A Cobrar]]+Tabla5121314_34518202938[[#This Row],[Bonif]]</f>
        <v>0</v>
      </c>
      <c r="I217" s="345"/>
      <c r="J217" s="331">
        <v>2</v>
      </c>
      <c r="K217" s="329" cm="1">
        <f t="array" ref="K217">MMULT(Tabla5121314_34518202938[[#This Row],[Tarifas x Horas]],8)*Tabla5121314_34518202938[[#This Row],[Vacaciones]]</f>
        <v>666.65599999999995</v>
      </c>
      <c r="L217" s="292">
        <f>Tabla5121314_34518202938[[#This Row],[Sal. Dev]]-Tabla5121314_34518202938[[#This Row],[Ausencias]]</f>
        <v>0</v>
      </c>
      <c r="M217" s="292">
        <f>5%*Tabla5121314_34518202938[[#This Row],[Salario Neto]]</f>
        <v>0</v>
      </c>
      <c r="N217" s="329"/>
      <c r="O217" s="329"/>
      <c r="P217" s="332">
        <f>Tabla5121314_34518202938[[#This Row],[Sal. Dev]]-Tabla5121314_34518202938[[#This Row],[Ausencias]]+Tabla5121314_34518202938[[#This Row],[pago x vacaciones]]-Tabla5121314_34518202938[[#This Row],[importe Seg Social]]-Tabla5121314_34518202938[[#This Row],[Imp. Sobr. Ing. Per 3% (3260.00-9510.00)]]</f>
        <v>666.65599999999995</v>
      </c>
    </row>
    <row r="218" spans="1:16" ht="61.3" customHeight="1">
      <c r="A218" s="297">
        <v>103</v>
      </c>
      <c r="B218" s="300" t="str">
        <f>VLOOKUP(Tabla5121314_34518202938[[#This Row],[No. Exp]],Tabla6[],2)</f>
        <v>Luis Ramón Díaz Alvarez</v>
      </c>
      <c r="C218" s="300" t="str">
        <f>VLOOKUP(Tabla5121314_34518202938[[#This Row],[No. Exp]],Tabla6[],3)</f>
        <v>01032963607</v>
      </c>
      <c r="D218" s="300">
        <f>M214</f>
        <v>0</v>
      </c>
      <c r="E218" s="346">
        <f>VLOOKUP(Tabla5121314_34518202938[[#This Row],[No. Exp]],Tabla6[],5)</f>
        <v>41.665999999999997</v>
      </c>
      <c r="F218" s="300">
        <f>ROUND(Tabla5121314_34518202938[[#This Row],[Horas trabajadas]]*Tabla5121314_34518202938[[#This Row],[Tarifas x Horas]],0)</f>
        <v>0</v>
      </c>
      <c r="G218" s="300"/>
      <c r="H218" s="300">
        <f>Tabla5121314_34518202938[[#This Row],[A Cobrar]]+Tabla5121314_34518202938[[#This Row],[Bonif]]</f>
        <v>0</v>
      </c>
      <c r="I218" s="300"/>
      <c r="J218" s="331">
        <v>3.72</v>
      </c>
      <c r="K218" s="329" cm="1">
        <f t="array" ref="K218">MMULT(Tabla5121314_34518202938[[#This Row],[Tarifas x Horas]],8)*Tabla5121314_34518202938[[#This Row],[Vacaciones]]</f>
        <v>1239.9801600000001</v>
      </c>
      <c r="L218" s="292">
        <f>Tabla5121314_34518202938[[#This Row],[Sal. Dev]]-Tabla5121314_34518202938[[#This Row],[Ausencias]]</f>
        <v>0</v>
      </c>
      <c r="M218" s="292">
        <f>5%*Tabla5121314_34518202938[[#This Row],[Salario Neto]]</f>
        <v>0</v>
      </c>
      <c r="N218" s="329"/>
      <c r="O218" s="329"/>
      <c r="P218" s="332">
        <f>Tabla5121314_34518202938[[#This Row],[Sal. Dev]]-Tabla5121314_34518202938[[#This Row],[Ausencias]]+Tabla5121314_34518202938[[#This Row],[pago x vacaciones]]-Tabla5121314_34518202938[[#This Row],[importe Seg Social]]-Tabla5121314_34518202938[[#This Row],[Imp. Sobr. Ing. Per 3% (3260.00-9510.00)]]</f>
        <v>1239.9801600000001</v>
      </c>
    </row>
    <row r="219" spans="1:16" ht="64.3" customHeight="1">
      <c r="A219" s="297">
        <v>102</v>
      </c>
      <c r="B219" s="300" t="str">
        <f>VLOOKUP(Tabla5121314_34518202938[[#This Row],[No. Exp]],Tabla6[],2)</f>
        <v>Adrian Daniel Fernández Landivar</v>
      </c>
      <c r="C219" s="300">
        <f>VLOOKUP(Tabla5121314_34518202938[[#This Row],[No. Exp]],Tabla6[],3)</f>
        <v>99020618509</v>
      </c>
      <c r="D219" s="300">
        <f>M215</f>
        <v>0</v>
      </c>
      <c r="E219" s="346">
        <f>VLOOKUP(Tabla5121314_34518202938[[#This Row],[No. Exp]],Tabla6[],5)</f>
        <v>41.665999999999997</v>
      </c>
      <c r="F219" s="300">
        <f>ROUND(Tabla5121314_34518202938[[#This Row],[Horas trabajadas]]*Tabla5121314_34518202938[[#This Row],[Tarifas x Horas]],0)</f>
        <v>0</v>
      </c>
      <c r="G219" s="300"/>
      <c r="H219" s="300">
        <f>Tabla5121314_34518202938[[#This Row],[A Cobrar]]+Tabla5121314_34518202938[[#This Row],[Bonif]]</f>
        <v>0</v>
      </c>
      <c r="I219" s="300"/>
      <c r="J219" s="331">
        <v>4.3600000000000003</v>
      </c>
      <c r="K219" s="329" cm="1">
        <f t="array" ref="K219">MMULT(Tabla5121314_34518202938[[#This Row],[Tarifas x Horas]],8)*Tabla5121314_34518202938[[#This Row],[Vacaciones]]</f>
        <v>1453.31008</v>
      </c>
      <c r="L219" s="292">
        <f>Tabla5121314_34518202938[[#This Row],[Sal. Dev]]-Tabla5121314_34518202938[[#This Row],[Ausencias]]</f>
        <v>0</v>
      </c>
      <c r="M219" s="292">
        <f>5%*Tabla5121314_34518202938[[#This Row],[Salario Neto]]</f>
        <v>0</v>
      </c>
      <c r="N219" s="329"/>
      <c r="O219" s="329"/>
      <c r="P219" s="332">
        <f>Tabla5121314_34518202938[[#This Row],[Sal. Dev]]-Tabla5121314_34518202938[[#This Row],[Ausencias]]+Tabla5121314_34518202938[[#This Row],[pago x vacaciones]]-Tabla5121314_34518202938[[#This Row],[importe Seg Social]]-Tabla5121314_34518202938[[#This Row],[Imp. Sobr. Ing. Per 3% (3260.00-9510.00)]]</f>
        <v>1453.31008</v>
      </c>
    </row>
    <row r="220" spans="1:16" ht="64.3" customHeight="1">
      <c r="A220" s="297">
        <v>7</v>
      </c>
      <c r="B220" s="300" t="str">
        <f>VLOOKUP(Tabla5121314_34518202938[[#This Row],[No. Exp]],Tabla6[],2)</f>
        <v>Heidy Allen Valdéz</v>
      </c>
      <c r="C220" s="300" t="str">
        <f>VLOOKUP(Tabla5121314_34518202938[[#This Row],[No. Exp]],Tabla6[],3)</f>
        <v>91090328651</v>
      </c>
      <c r="D220" s="300"/>
      <c r="E220" s="346">
        <f>VLOOKUP(Tabla5121314_34518202938[[#This Row],[No. Exp]],Tabla6[],5)</f>
        <v>46.875</v>
      </c>
      <c r="F220" s="300">
        <f>ROUND(Tabla5121314_34518202938[[#This Row],[Horas trabajadas]]*Tabla5121314_34518202938[[#This Row],[Tarifas x Horas]],0)</f>
        <v>0</v>
      </c>
      <c r="G220" s="300"/>
      <c r="H220" s="300">
        <f>Tabla5121314_34518202938[[#This Row],[A Cobrar]]+Tabla5121314_34518202938[[#This Row],[Bonif]]</f>
        <v>0</v>
      </c>
      <c r="I220" s="300"/>
      <c r="J220" s="331">
        <v>8.7200000000000006</v>
      </c>
      <c r="K220" s="329" cm="1">
        <f t="array" ref="K220">MMULT(Tabla5121314_34518202938[[#This Row],[Tarifas x Horas]],8)*Tabla5121314_34518202938[[#This Row],[Vacaciones]]</f>
        <v>3270.0000000000005</v>
      </c>
      <c r="L220" s="292">
        <f>Tabla5121314_34518202938[[#This Row],[Sal. Dev]]-Tabla5121314_34518202938[[#This Row],[Ausencias]]</f>
        <v>0</v>
      </c>
      <c r="M220" s="292">
        <f>5%*Tabla5121314_34518202938[[#This Row],[Salario Neto]]</f>
        <v>0</v>
      </c>
      <c r="N220" s="329"/>
      <c r="O220" s="329"/>
      <c r="P220" s="332">
        <f>Tabla5121314_34518202938[[#This Row],[Sal. Dev]]-Tabla5121314_34518202938[[#This Row],[Ausencias]]+Tabla5121314_34518202938[[#This Row],[pago x vacaciones]]-Tabla5121314_34518202938[[#This Row],[importe Seg Social]]-Tabla5121314_34518202938[[#This Row],[Imp. Sobr. Ing. Per 3% (3260.00-9510.00)]]</f>
        <v>3270.0000000000005</v>
      </c>
    </row>
    <row r="221" spans="1:16" ht="37.299999999999997">
      <c r="A221" s="297">
        <v>105</v>
      </c>
      <c r="B221" s="300" t="str">
        <f>VLOOKUP(Tabla5121314_34518202938[[#This Row],[No. Exp]],Tabla6[],2)</f>
        <v xml:space="preserve">Maited Benitez Lugo </v>
      </c>
      <c r="C221" s="300">
        <f>VLOOKUP(Tabla5121314_34518202938[[#This Row],[No. Exp]],Tabla6[],3)</f>
        <v>70052404751</v>
      </c>
      <c r="D221" s="300">
        <f>M217</f>
        <v>0</v>
      </c>
      <c r="E221" s="346">
        <f>VLOOKUP(Tabla5121314_34518202938[[#This Row],[No. Exp]],Tabla6[],5)</f>
        <v>46.875</v>
      </c>
      <c r="F221" s="300">
        <f>ROUND(Tabla5121314_34518202938[[#This Row],[Horas trabajadas]]*Tabla5121314_34518202938[[#This Row],[Tarifas x Horas]],0)</f>
        <v>0</v>
      </c>
      <c r="G221" s="300"/>
      <c r="H221" s="300">
        <f>Tabla5121314_34518202938[[#This Row],[A Cobrar]]+Tabla5121314_34518202938[[#This Row],[Bonif]]</f>
        <v>0</v>
      </c>
      <c r="I221" s="300"/>
      <c r="J221" s="331">
        <v>2.1800000000000002</v>
      </c>
      <c r="K221" s="329" cm="1">
        <f t="array" ref="K221">MMULT(Tabla5121314_34518202938[[#This Row],[Tarifas x Horas]],8)*Tabla5121314_34518202938[[#This Row],[Vacaciones]]</f>
        <v>817.50000000000011</v>
      </c>
      <c r="L221" s="292">
        <f>Tabla5121314_34518202938[[#This Row],[Sal. Dev]]-Tabla5121314_34518202938[[#This Row],[Ausencias]]</f>
        <v>0</v>
      </c>
      <c r="M221" s="292">
        <f>5%*Tabla5121314_34518202938[[#This Row],[Salario Neto]]</f>
        <v>0</v>
      </c>
      <c r="N221" s="329"/>
      <c r="O221" s="329"/>
      <c r="P221" s="332">
        <f>Tabla5121314_34518202938[[#This Row],[Sal. Dev]]-Tabla5121314_34518202938[[#This Row],[Ausencias]]+Tabla5121314_34518202938[[#This Row],[pago x vacaciones]]-Tabla5121314_34518202938[[#This Row],[importe Seg Social]]-Tabla5121314_34518202938[[#This Row],[Imp. Sobr. Ing. Per 3% (3260.00-9510.00)]]</f>
        <v>817.50000000000011</v>
      </c>
    </row>
    <row r="222" spans="1:16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</row>
    <row r="223" spans="1:16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</row>
    <row r="224" spans="1:16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</row>
    <row r="225" spans="1:16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</row>
    <row r="226" spans="1:16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</row>
    <row r="227" spans="1:16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</row>
    <row r="228" spans="1:16" ht="32.6">
      <c r="A228" s="174"/>
      <c r="B228" s="344" t="s">
        <v>210</v>
      </c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</row>
    <row r="229" spans="1:16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</row>
  </sheetData>
  <mergeCells count="43">
    <mergeCell ref="L215:M215"/>
    <mergeCell ref="A161:B161"/>
    <mergeCell ref="L161:M161"/>
    <mergeCell ref="A183:B183"/>
    <mergeCell ref="A184:B184"/>
    <mergeCell ref="A185:B185"/>
    <mergeCell ref="A187:B187"/>
    <mergeCell ref="L187:M187"/>
    <mergeCell ref="A198:B198"/>
    <mergeCell ref="A199:B199"/>
    <mergeCell ref="A200:B200"/>
    <mergeCell ref="L202:M202"/>
    <mergeCell ref="B212:C212"/>
    <mergeCell ref="L107:M107"/>
    <mergeCell ref="B121:C121"/>
    <mergeCell ref="A127:B127"/>
    <mergeCell ref="A128:B128"/>
    <mergeCell ref="A130:B130"/>
    <mergeCell ref="L130:M130"/>
    <mergeCell ref="A24:B24"/>
    <mergeCell ref="A159:B159"/>
    <mergeCell ref="A104:B104"/>
    <mergeCell ref="A105:B105"/>
    <mergeCell ref="A107:B107"/>
    <mergeCell ref="A157:B157"/>
    <mergeCell ref="A158:B158"/>
    <mergeCell ref="A103:B103"/>
    <mergeCell ref="A25:B25"/>
    <mergeCell ref="A26:B26"/>
    <mergeCell ref="A27:B27"/>
    <mergeCell ref="B95:C95"/>
    <mergeCell ref="B99:C99"/>
    <mergeCell ref="L27:M27"/>
    <mergeCell ref="A70:B70"/>
    <mergeCell ref="A71:B71"/>
    <mergeCell ref="A72:B72"/>
    <mergeCell ref="A74:B74"/>
    <mergeCell ref="L74:M74"/>
    <mergeCell ref="A5:B5"/>
    <mergeCell ref="A6:B6"/>
    <mergeCell ref="A7:B7"/>
    <mergeCell ref="A9:B9"/>
    <mergeCell ref="L9:M9"/>
  </mergeCells>
  <pageMargins left="0.70866141732283472" right="0.70866141732283472" top="0.74803149606299213" bottom="0.74803149606299213" header="0.31496062992125984" footer="0.31496062992125984"/>
  <pageSetup scale="21" orientation="landscape" errors="blank" r:id="rId1"/>
  <headerFooter>
    <oddHeader>&amp;R&amp;P de &amp;N paginas</oddHeader>
  </headerFooter>
  <rowBreaks count="6" manualBreakCount="6">
    <brk id="23" max="15" man="1"/>
    <brk id="66" max="15" man="1"/>
    <brk id="102" max="15" man="1"/>
    <brk id="155" max="15" man="1"/>
    <brk id="196" max="15" man="1"/>
    <brk id="211" max="16383" man="1"/>
  </rowBreaks>
  <colBreaks count="1" manualBreakCount="1">
    <brk id="17" min="4" max="210" man="1"/>
  </colBreaks>
  <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1"/>
  <sheetViews>
    <sheetView showZeros="0" topLeftCell="A26" zoomScale="42" zoomScaleNormal="42" zoomScaleSheetLayoutView="19" workbookViewId="0">
      <selection activeCell="C37" sqref="C37"/>
    </sheetView>
  </sheetViews>
  <sheetFormatPr baseColWidth="10" defaultColWidth="11" defaultRowHeight="30"/>
  <cols>
    <col min="1" max="1" width="11.84375" customWidth="1"/>
    <col min="2" max="2" width="69.84375" customWidth="1"/>
    <col min="3" max="3" width="31.3828125" customWidth="1"/>
    <col min="4" max="4" width="34.84375" customWidth="1"/>
    <col min="5" max="5" width="35" customWidth="1"/>
    <col min="6" max="6" width="35.765625" customWidth="1"/>
    <col min="7" max="7" width="38.61328125" style="351" customWidth="1"/>
    <col min="8" max="8" width="27.921875" customWidth="1"/>
    <col min="9" max="9" width="26.23046875" customWidth="1"/>
    <col min="10" max="10" width="33.69140625" customWidth="1"/>
    <col min="11" max="11" width="28.3828125" customWidth="1"/>
    <col min="12" max="12" width="24.53515625" customWidth="1"/>
    <col min="13" max="13" width="24" customWidth="1"/>
    <col min="14" max="14" width="36.4609375" customWidth="1"/>
  </cols>
  <sheetData>
    <row r="1" spans="1:14">
      <c r="E1" s="27"/>
    </row>
    <row r="2" spans="1:14">
      <c r="A2" s="465"/>
      <c r="B2" s="465"/>
      <c r="C2" s="465"/>
      <c r="D2" s="465"/>
      <c r="E2" s="351"/>
      <c r="F2" s="351"/>
    </row>
    <row r="3" spans="1:14" s="26" customFormat="1" ht="90.45">
      <c r="A3" s="352" t="s">
        <v>10</v>
      </c>
      <c r="B3" s="352" t="s">
        <v>11</v>
      </c>
      <c r="C3" s="352" t="s">
        <v>24</v>
      </c>
      <c r="D3" s="352" t="s">
        <v>25</v>
      </c>
      <c r="E3" s="352" t="s">
        <v>225</v>
      </c>
      <c r="F3" s="352" t="s">
        <v>238</v>
      </c>
      <c r="G3" s="352" t="s">
        <v>234</v>
      </c>
      <c r="H3" s="391" t="s">
        <v>239</v>
      </c>
      <c r="I3" s="391" t="s">
        <v>235</v>
      </c>
      <c r="J3" s="400" t="s">
        <v>245</v>
      </c>
      <c r="K3" s="400" t="s">
        <v>246</v>
      </c>
      <c r="L3" s="400" t="s">
        <v>247</v>
      </c>
      <c r="M3" s="400" t="s">
        <v>248</v>
      </c>
      <c r="N3" s="400" t="s">
        <v>249</v>
      </c>
    </row>
    <row r="4" spans="1:14" ht="48" customHeight="1">
      <c r="A4" s="351">
        <v>1</v>
      </c>
      <c r="B4" s="354" t="s">
        <v>27</v>
      </c>
      <c r="C4" s="404">
        <f>(21.78+2.18-15)+2.18</f>
        <v>11.14</v>
      </c>
      <c r="D4" s="355">
        <f>(5726.7+Tabla7[[#This Row],[octubre]])+Tabla7[[#This Row],[octubre2]]+Tabla7[[#This Row],[noviembre]]+Tabla7[[#This Row],[noviembre2]]+Tabla7[[#This Row],[diciembre]]+Tabla7[[#This Row],[diciembre2]]+Tabla7[[#This Row],[enero 2026]]+Tabla7[[#This Row],[enero 20262]]+Tabla7[[#This Row],[febrero 2026]]+Tabla7[[#This Row],[febrero2026]]</f>
        <v>1737.9</v>
      </c>
      <c r="E4" s="353">
        <v>818.1</v>
      </c>
      <c r="F4" s="353">
        <v>-5625</v>
      </c>
      <c r="G4" s="353">
        <v>818.1</v>
      </c>
      <c r="H4" s="30"/>
      <c r="I4" s="30"/>
      <c r="J4" s="397"/>
      <c r="K4" s="397"/>
      <c r="L4" s="397"/>
      <c r="M4" s="397"/>
      <c r="N4" s="397"/>
    </row>
    <row r="5" spans="1:14" ht="43.75" customHeight="1">
      <c r="A5" s="351">
        <v>2</v>
      </c>
      <c r="B5" s="351" t="str">
        <f>VLOOKUP(Tabla7[[#This Row],[No. Exp]],Tabla6[],2)</f>
        <v>Mabel Molina Fajardo</v>
      </c>
      <c r="C5" s="404">
        <f>(15.68+2.18)+2.18</f>
        <v>20.04</v>
      </c>
      <c r="D5" s="355">
        <f>3272.1+Tabla7[[#This Row],[octubre]]+Tabla7[[#This Row],[octubre2]]+Tabla7[[#This Row],[noviembre]]+Tabla7[[#This Row],[noviembre2]]+Tabla7[[#This Row],[diciembre]]+Tabla7[[#This Row],[diciembre2]]+Tabla7[[#This Row],[enero 2026]]+Tabla7[[#This Row],[enero 20262]]+Tabla7[[#This Row],[febrero 2026]]+Tabla7[[#This Row],[febrero2026]]</f>
        <v>4908.3</v>
      </c>
      <c r="E5" s="353">
        <v>818.1</v>
      </c>
      <c r="F5" s="353"/>
      <c r="G5" s="353">
        <v>818.1</v>
      </c>
      <c r="H5" s="30"/>
      <c r="I5" s="30"/>
      <c r="J5" s="397"/>
      <c r="K5" s="397"/>
      <c r="L5" s="397"/>
      <c r="M5" s="397"/>
      <c r="N5" s="397"/>
    </row>
    <row r="6" spans="1:14" ht="43.75" customHeight="1">
      <c r="A6" s="351">
        <v>3</v>
      </c>
      <c r="B6" s="351" t="str">
        <f>VLOOKUP(Tabla7[[#This Row],[No. Exp]],Tabla6[],2)</f>
        <v>Yanet González Rodríguez</v>
      </c>
      <c r="C6" s="404">
        <f>(27.68+2.18-10)+2.18</f>
        <v>22.04</v>
      </c>
      <c r="D6" s="355">
        <f>7090.2+Tabla7[[#This Row],[octubre]]+Tabla7[[#This Row],[octubre2]]+Tabla7[[#This Row],[noviembre]]+Tabla7[[#This Row],[noviembre2]]+Tabla7[[#This Row],[diciembre]]+Tabla7[[#This Row],[diciembre2]]+Tabla7[[#This Row],[enero 2026]]+Tabla7[[#This Row],[enero 20262]]+Tabla7[[#This Row],[febrero 2026]]+Tabla7[[#This Row],[febrero2026]]</f>
        <v>4976.4000000000005</v>
      </c>
      <c r="E6" s="353">
        <v>818.1</v>
      </c>
      <c r="F6" s="353">
        <v>-3750</v>
      </c>
      <c r="G6" s="353">
        <v>818.1</v>
      </c>
      <c r="H6" s="30"/>
      <c r="I6" s="32"/>
      <c r="J6" s="397"/>
      <c r="K6" s="397"/>
      <c r="L6" s="397"/>
      <c r="M6" s="397"/>
      <c r="N6" s="397"/>
    </row>
    <row r="7" spans="1:14" ht="50.15" customHeight="1">
      <c r="A7" s="351">
        <v>4</v>
      </c>
      <c r="B7" s="351" t="str">
        <f>VLOOKUP(Tabla7[[#This Row],[No. Exp]],Tabla6[],2)</f>
        <v>Patricia San Gabino Delgado</v>
      </c>
      <c r="C7" s="404">
        <f>(20.15+2.18)+2.18</f>
        <v>24.509999999999998</v>
      </c>
      <c r="D7" s="355">
        <f>4908.6+Tabla7[[#This Row],[octubre]]+Tabla7[[#This Row],[octubre2]]+Tabla7[[#This Row],[noviembre]]+Tabla7[[#This Row],[noviembre2]]+Tabla7[[#This Row],[diciembre]]+Tabla7[[#This Row],[diciembre2]]+Tabla7[[#This Row],[enero 2026]]+Tabla7[[#This Row],[enero 20262]]+Tabla7[[#This Row],[febrero 2026]]+Tabla7[[#This Row],[febrero2026]]</f>
        <v>6544.8000000000011</v>
      </c>
      <c r="E7" s="353">
        <v>818.1</v>
      </c>
      <c r="F7" s="353"/>
      <c r="G7" s="353">
        <v>818.1</v>
      </c>
      <c r="H7" s="30"/>
      <c r="J7" s="397"/>
      <c r="K7" s="397"/>
      <c r="L7" s="397"/>
      <c r="M7" s="397"/>
      <c r="N7" s="397"/>
    </row>
    <row r="8" spans="1:14" ht="45.9" customHeight="1">
      <c r="A8" s="351">
        <v>6</v>
      </c>
      <c r="B8" s="351" t="str">
        <f>VLOOKUP(Tabla7[[#This Row],[No. Exp]],Tabla6[],2)</f>
        <v>Amanda Miguel Marcano Bahler</v>
      </c>
      <c r="C8" s="404">
        <f>(6.54+2.18)+2.18</f>
        <v>10.9</v>
      </c>
      <c r="D8" s="355">
        <f>1908.9+Tabla7[[#This Row],[octubre]]+Tabla7[[#This Row],[octubre2]]+Tabla7[[#This Row],[noviembre]]+Tabla7[[#This Row],[noviembre2]]+Tabla7[[#This Row],[diciembre]]+Tabla7[[#This Row],[diciembre2]]+Tabla7[[#This Row],[enero 2026]]+Tabla7[[#This Row],[enero 20262]]+Tabla7[[#This Row],[febrero 2026]]+Tabla7[[#This Row],[febrero2026]]</f>
        <v>3545.1</v>
      </c>
      <c r="E8" s="353">
        <v>818.1</v>
      </c>
      <c r="F8" s="353"/>
      <c r="G8" s="353">
        <v>818.1</v>
      </c>
      <c r="H8" s="30"/>
      <c r="I8" s="32"/>
      <c r="J8" s="397"/>
      <c r="K8" s="397"/>
      <c r="L8" s="397"/>
      <c r="M8" s="397"/>
      <c r="N8" s="397"/>
    </row>
    <row r="9" spans="1:14" s="362" customFormat="1" ht="48" customHeight="1">
      <c r="A9" s="356">
        <v>7</v>
      </c>
      <c r="B9" s="356" t="str">
        <f>VLOOKUP(Tabla7[[#This Row],[No. Exp]],Tabla6[],2)</f>
        <v>Heidy Allen Valdéz</v>
      </c>
      <c r="C9" s="357">
        <v>0</v>
      </c>
      <c r="D9" s="358">
        <v>0</v>
      </c>
      <c r="E9" s="359">
        <v>818.1</v>
      </c>
      <c r="F9" s="359">
        <v>3272.4</v>
      </c>
      <c r="G9" s="359">
        <v>818.1</v>
      </c>
      <c r="H9" s="360"/>
      <c r="I9" s="361"/>
      <c r="J9" s="398"/>
      <c r="K9" s="398"/>
      <c r="L9" s="398"/>
      <c r="M9" s="398"/>
      <c r="N9" s="398"/>
    </row>
    <row r="10" spans="1:14" ht="52.75" customHeight="1">
      <c r="A10" s="351">
        <v>8</v>
      </c>
      <c r="B10" s="351" t="str">
        <f>VLOOKUP(Tabla7[[#This Row],[No. Exp]],Tabla6[],2)</f>
        <v>Carlos Alberto García Lorente</v>
      </c>
      <c r="C10" s="404">
        <f>(27.91+2.18-15)+2.18</f>
        <v>17.27</v>
      </c>
      <c r="D10" s="355">
        <f>7142.1+Tabla7[[#This Row],[octubre]]+Tabla7[[#This Row],[octubre2]]+Tabla7[[#This Row],[noviembre]]+Tabla7[[#This Row],[noviembre2]]+Tabla7[[#This Row],[diciembre]]+Tabla7[[#This Row],[diciembre2]]+Tabla7[[#This Row],[enero 2026]]+Tabla7[[#This Row],[enero 20262]]+Tabla7[[#This Row],[febrero 2026]]+Tabla7[[#This Row],[febrero2026]]</f>
        <v>3153.3000000000006</v>
      </c>
      <c r="E10" s="353">
        <v>818.1</v>
      </c>
      <c r="F10" s="353">
        <v>-5625</v>
      </c>
      <c r="G10" s="353">
        <v>818.1</v>
      </c>
      <c r="H10" s="30"/>
      <c r="I10" s="32"/>
      <c r="J10" s="397"/>
      <c r="K10" s="397"/>
      <c r="L10" s="397"/>
      <c r="M10" s="397"/>
      <c r="N10" s="397"/>
    </row>
    <row r="11" spans="1:14" ht="43.75" customHeight="1">
      <c r="A11" s="351">
        <v>9</v>
      </c>
      <c r="B11" s="351" t="str">
        <f>VLOOKUP(Tabla7[[#This Row],[No. Exp]],Tabla6[],2)</f>
        <v>Leonardo Goberna Sánchez</v>
      </c>
      <c r="C11" s="404">
        <f>(20.77+2.18)+2.18</f>
        <v>25.13</v>
      </c>
      <c r="D11" s="355">
        <f>4731.34+Tabla7[[#This Row],[octubre]]+Tabla7[[#This Row],[octubre2]]+Tabla7[[#This Row],[noviembre]]+Tabla7[[#This Row],[noviembre2]]+Tabla7[[#This Row],[diciembre]]+Tabla7[[#This Row],[diciembre2]]+Tabla7[[#This Row],[enero 2026]]+Tabla7[[#This Row],[enero 20262]]+Tabla7[[#This Row],[febrero 2026]]+Tabla7[[#This Row],[febrero2026]]</f>
        <v>6149.380000000001</v>
      </c>
      <c r="E11" s="353">
        <v>709.02</v>
      </c>
      <c r="F11" s="353"/>
      <c r="G11" s="353">
        <v>709.02</v>
      </c>
      <c r="H11" s="30"/>
      <c r="I11" s="32"/>
      <c r="J11" s="397"/>
      <c r="K11" s="397"/>
      <c r="L11" s="397"/>
      <c r="M11" s="397"/>
      <c r="N11" s="397"/>
    </row>
    <row r="12" spans="1:14" ht="43.85" customHeight="1">
      <c r="A12" s="351">
        <v>10</v>
      </c>
      <c r="B12" s="351" t="str">
        <f>VLOOKUP(Tabla7[[#This Row],[No. Exp]],Tabla6[],2)</f>
        <v>Liván León López</v>
      </c>
      <c r="C12" s="404">
        <f>(26.36+2.18)+2.18</f>
        <v>30.72</v>
      </c>
      <c r="D12" s="355">
        <f>6608.43+Tabla7[[#This Row],[octubre]]+Tabla7[[#This Row],[octubre2]]+Tabla7[[#This Row],[noviembre]]+Tabla7[[#This Row],[noviembre2]]+Tabla7[[#This Row],[diciembre]]+Tabla7[[#This Row],[diciembre2]]+Tabla7[[#This Row],[enero 2026]]+Tabla7[[#This Row],[enero 20262]]+Tabla7[[#This Row],[febrero 2026]]+Tabla7[[#This Row],[febrero2026]]</f>
        <v>8026.4700000000012</v>
      </c>
      <c r="E12" s="353">
        <v>709.02</v>
      </c>
      <c r="F12" s="353"/>
      <c r="G12" s="353">
        <v>709.02</v>
      </c>
      <c r="H12" s="30"/>
      <c r="I12" s="32"/>
      <c r="J12" s="397"/>
      <c r="K12" s="397"/>
      <c r="L12" s="397"/>
      <c r="M12" s="397"/>
      <c r="N12" s="397"/>
    </row>
    <row r="13" spans="1:14" ht="52.75" customHeight="1">
      <c r="A13" s="351">
        <v>11</v>
      </c>
      <c r="B13" s="351" t="str">
        <f>VLOOKUP(Tabla7[[#This Row],[No. Exp]],Tabla6[],2)</f>
        <v>Norge Araújo Ortega</v>
      </c>
      <c r="C13" s="404">
        <f>(21.68+2.18)+2.18</f>
        <v>26.04</v>
      </c>
      <c r="D13" s="355">
        <f>5535.81+Tabla7[[#This Row],[octubre]]+Tabla7[[#This Row],[octubre2]]+Tabla7[[#This Row],[noviembre]]+Tabla7[[#This Row],[noviembre2]]+Tabla7[[#This Row],[diciembre]]+Tabla7[[#This Row],[diciembre2]]+Tabla7[[#This Row],[enero 2026]]+Tabla7[[#This Row],[enero 20262]]+Tabla7[[#This Row],[febrero 2026]]+Tabla7[[#This Row],[febrero2026]]</f>
        <v>6953.85</v>
      </c>
      <c r="E13" s="353">
        <v>709.02</v>
      </c>
      <c r="F13" s="353"/>
      <c r="G13" s="353">
        <v>709.02</v>
      </c>
      <c r="H13" s="30"/>
      <c r="I13" s="32"/>
      <c r="J13" s="397"/>
      <c r="K13" s="397"/>
      <c r="L13" s="397"/>
      <c r="M13" s="397"/>
      <c r="N13" s="397"/>
    </row>
    <row r="14" spans="1:14" ht="45.9" customHeight="1">
      <c r="A14" s="351">
        <v>12</v>
      </c>
      <c r="B14" s="351" t="str">
        <f>VLOOKUP(Tabla7[[#This Row],[No. Exp]],Tabla6[],2)</f>
        <v>Humberto Eugenio Blanco Hernanadez</v>
      </c>
      <c r="C14" s="404">
        <f>(26.14+2.18-10)+2.18</f>
        <v>20.5</v>
      </c>
      <c r="D14" s="355">
        <f>6608.43+Tabla7[[#This Row],[octubre]]+Tabla7[[#This Row],[octubre2]]+Tabla7[[#This Row],[noviembre]]+Tabla7[[#This Row],[noviembre2]]+Tabla7[[#This Row],[diciembre]]+Tabla7[[#This Row],[diciembre2]]+Tabla7[[#This Row],[enero 2026]]+Tabla7[[#This Row],[enero 20262]]+Tabla7[[#This Row],[febrero 2026]]+Tabla7[[#This Row],[febrero2026]]</f>
        <v>4776.4700000000012</v>
      </c>
      <c r="E14" s="353">
        <v>709.02</v>
      </c>
      <c r="F14" s="31"/>
      <c r="G14" s="353">
        <v>709.02</v>
      </c>
      <c r="H14" s="353">
        <v>-3250</v>
      </c>
      <c r="I14" s="32"/>
      <c r="J14" s="397"/>
      <c r="K14" s="397"/>
      <c r="L14" s="397"/>
      <c r="M14" s="397"/>
      <c r="N14" s="397"/>
    </row>
    <row r="15" spans="1:14" ht="59.6" customHeight="1">
      <c r="A15" s="351">
        <v>13</v>
      </c>
      <c r="B15" s="351" t="str">
        <f>VLOOKUP(Tabla7[[#This Row],[No. Exp]],Tabla6[],2)</f>
        <v>Samuel Elías Galán Zaldívar</v>
      </c>
      <c r="C15" s="404">
        <f>(23.06+2.18)+2.18</f>
        <v>27.419999999999998</v>
      </c>
      <c r="D15" s="355">
        <f>6608.43+Tabla7[[#This Row],[octubre]]+Tabla7[[#This Row],[octubre2]]+Tabla7[[#This Row],[noviembre]]+Tabla7[[#This Row],[noviembre2]]+Tabla7[[#This Row],[diciembre]]+Tabla7[[#This Row],[diciembre2]]+Tabla7[[#This Row],[enero 2026]]+Tabla7[[#This Row],[enero 20262]]+Tabla7[[#This Row],[febrero 2026]]+Tabla7[[#This Row],[febrero2026]]</f>
        <v>8026.4700000000012</v>
      </c>
      <c r="E15" s="353">
        <v>709.02</v>
      </c>
      <c r="F15" s="353"/>
      <c r="G15" s="353">
        <v>709.02</v>
      </c>
      <c r="H15" s="353"/>
      <c r="I15" s="32"/>
      <c r="J15" s="397"/>
      <c r="K15" s="397"/>
      <c r="L15" s="397"/>
      <c r="M15" s="397"/>
      <c r="N15" s="397"/>
    </row>
    <row r="16" spans="1:14" ht="50.15" customHeight="1">
      <c r="A16" s="351">
        <v>14</v>
      </c>
      <c r="B16" s="351" t="str">
        <f>VLOOKUP(Tabla7[[#This Row],[No. Exp]],Tabla6[],2)</f>
        <v>Jesús Pérez Fagundo</v>
      </c>
      <c r="C16" s="404">
        <f>(28.33+2.18-10)+2.18</f>
        <v>22.689999999999998</v>
      </c>
      <c r="D16" s="355">
        <f>7144.74+Tabla7[[#This Row],[octubre]]+Tabla7[[#This Row],[octubre2]]+Tabla7[[#This Row],[noviembre]]+Tabla7[[#This Row],[noviembre2]]+Tabla7[[#This Row],[diciembre]]+Tabla7[[#This Row],[diciembre2]]+Tabla7[[#This Row],[enero 2026]]+Tabla7[[#This Row],[enero 20262]]+Tabla7[[#This Row],[febrero 2026]]+Tabla7[[#This Row],[febrero2026]]</f>
        <v>5312.7800000000007</v>
      </c>
      <c r="E16" s="353">
        <v>709.02</v>
      </c>
      <c r="F16" s="353"/>
      <c r="G16" s="353">
        <v>709.02</v>
      </c>
      <c r="H16" s="353">
        <v>-3250</v>
      </c>
      <c r="I16" s="32"/>
      <c r="J16" s="397"/>
      <c r="K16" s="397"/>
      <c r="L16" s="397"/>
      <c r="M16" s="397"/>
      <c r="N16" s="397"/>
    </row>
    <row r="17" spans="1:14" ht="59.25" customHeight="1">
      <c r="A17" s="351">
        <v>15</v>
      </c>
      <c r="B17" s="351" t="str">
        <f>VLOOKUP(Tabla7[[#This Row],[No. Exp]],Tabla6[],2)</f>
        <v>Alexei  Llanes Gonzalez</v>
      </c>
      <c r="C17" s="404">
        <f>(16.79+2.18)+2.18</f>
        <v>21.15</v>
      </c>
      <c r="D17" s="355">
        <f>4038.63+Tabla7[[#This Row],[octubre]]+Tabla7[[#This Row],[octubre2]]+Tabla7[[#This Row],[noviembre]]+Tabla7[[#This Row],[noviembre2]]+Tabla7[[#This Row],[diciembre]]+Tabla7[[#This Row],[diciembre2]]+Tabla7[[#This Row],[enero 2026]]+Tabla7[[#This Row],[enero 20262]]+Tabla7[[#This Row],[febrero 2026]]+Tabla7[[#This Row],[febrero2026]]</f>
        <v>5456.67</v>
      </c>
      <c r="E17" s="353">
        <v>709.02</v>
      </c>
      <c r="F17" s="353"/>
      <c r="G17" s="353">
        <v>709.02</v>
      </c>
      <c r="H17" s="353"/>
      <c r="I17" s="32"/>
      <c r="J17" s="397"/>
      <c r="K17" s="397"/>
      <c r="L17" s="397"/>
      <c r="M17" s="397"/>
      <c r="N17" s="397"/>
    </row>
    <row r="18" spans="1:14" ht="48" customHeight="1">
      <c r="A18" s="351">
        <v>16</v>
      </c>
      <c r="B18" s="351" t="str">
        <f>VLOOKUP(Tabla7[[#This Row],[No. Exp]],Tabla6[],2)</f>
        <v>Cristian Corrales Rosario</v>
      </c>
      <c r="C18" s="404">
        <f>(16.79+2.18)+2.18</f>
        <v>21.15</v>
      </c>
      <c r="D18" s="355">
        <f>4038.63+Tabla7[[#This Row],[octubre]]+Tabla7[[#This Row],[octubre2]]+Tabla7[[#This Row],[noviembre]]+Tabla7[[#This Row],[noviembre2]]+Tabla7[[#This Row],[diciembre]]+Tabla7[[#This Row],[diciembre2]]+Tabla7[[#This Row],[enero 2026]]+Tabla7[[#This Row],[enero 20262]]+Tabla7[[#This Row],[febrero 2026]]+Tabla7[[#This Row],[febrero2026]]</f>
        <v>5456.67</v>
      </c>
      <c r="E18" s="353">
        <v>709.02</v>
      </c>
      <c r="F18" s="353"/>
      <c r="G18" s="353">
        <v>709.02</v>
      </c>
      <c r="H18" s="353"/>
      <c r="I18" s="32"/>
      <c r="J18" s="397"/>
      <c r="K18" s="397"/>
      <c r="L18" s="397"/>
      <c r="M18" s="397"/>
      <c r="N18" s="397"/>
    </row>
    <row r="19" spans="1:14" ht="45.9" customHeight="1">
      <c r="A19" s="351">
        <v>17</v>
      </c>
      <c r="B19" s="351" t="str">
        <f>VLOOKUP(Tabla7[[#This Row],[No. Exp]],Tabla6[],2)</f>
        <v>Rudens  Roberto Borbolla</v>
      </c>
      <c r="C19" s="404">
        <f>(26.52+2.18-10)+2.18</f>
        <v>20.88</v>
      </c>
      <c r="D19" s="355">
        <f>6697.83+Tabla7[[#This Row],[octubre]]+Tabla7[[#This Row],[octubre2]]+Tabla7[[#This Row],[noviembre]]+Tabla7[[#This Row],[noviembre2]]+Tabla7[[#This Row],[diciembre]]+Tabla7[[#This Row],[diciembre2]]+Tabla7[[#This Row],[enero 2026]]+Tabla7[[#This Row],[enero 20262]]+Tabla7[[#This Row],[febrero 2026]]+Tabla7[[#This Row],[febrero2026]]</f>
        <v>4865.8700000000008</v>
      </c>
      <c r="E19" s="353">
        <v>709.02</v>
      </c>
      <c r="F19" s="353"/>
      <c r="G19" s="353">
        <v>709.02</v>
      </c>
      <c r="H19" s="353">
        <v>-3250</v>
      </c>
      <c r="I19" s="32"/>
      <c r="J19" s="397"/>
      <c r="K19" s="397"/>
      <c r="L19" s="397"/>
      <c r="M19" s="397"/>
      <c r="N19" s="397"/>
    </row>
    <row r="20" spans="1:14" ht="48" customHeight="1">
      <c r="A20" s="351">
        <v>18</v>
      </c>
      <c r="B20" s="351" t="str">
        <f>VLOOKUP(Tabla7[[#This Row],[No. Exp]],Tabla6[],2)</f>
        <v>Roliel Rodríguez García</v>
      </c>
      <c r="C20" s="404">
        <f>(20.25+2.18)+2.18</f>
        <v>24.61</v>
      </c>
      <c r="D20" s="355">
        <f>4463.19+Tabla7[[#This Row],[octubre]]+Tabla7[[#This Row],[octubre2]]+Tabla7[[#This Row],[noviembre]]+Tabla7[[#This Row],[noviembre2]]+Tabla7[[#This Row],[diciembre]]+Tabla7[[#This Row],[diciembre2]]+Tabla7[[#This Row],[enero 2026]]+Tabla7[[#This Row],[enero 20262]]+Tabla7[[#This Row],[febrero 2026]]+Tabla7[[#This Row],[febrero2026]]</f>
        <v>5881.23</v>
      </c>
      <c r="E20" s="353">
        <v>709.02</v>
      </c>
      <c r="F20" s="353"/>
      <c r="G20" s="353">
        <v>709.02</v>
      </c>
      <c r="H20" s="353"/>
      <c r="I20" s="32"/>
      <c r="J20" s="397"/>
      <c r="K20" s="397"/>
      <c r="L20" s="397"/>
      <c r="M20" s="397"/>
      <c r="N20" s="397"/>
    </row>
    <row r="21" spans="1:14" ht="52.75" customHeight="1">
      <c r="A21" s="351">
        <v>19</v>
      </c>
      <c r="B21" s="351" t="str">
        <f>VLOOKUP(Tabla7[[#This Row],[No. Exp]],Tabla6[],2)</f>
        <v>Osmandy del Valle Milanés</v>
      </c>
      <c r="C21" s="404">
        <f>(23.98+2.18)+2.18</f>
        <v>28.34</v>
      </c>
      <c r="D21" s="355">
        <f>6072.12+Tabla7[[#This Row],[octubre]]+Tabla7[[#This Row],[octubre2]]+Tabla7[[#This Row],[noviembre]]+Tabla7[[#This Row],[noviembre2]]+Tabla7[[#This Row],[diciembre]]+Tabla7[[#This Row],[diciembre2]]+Tabla7[[#This Row],[enero 2026]]+Tabla7[[#This Row],[enero 20262]]+Tabla7[[#This Row],[febrero 2026]]+Tabla7[[#This Row],[febrero2026]]</f>
        <v>7490.16</v>
      </c>
      <c r="E21" s="353">
        <v>709.02</v>
      </c>
      <c r="F21" s="353"/>
      <c r="G21" s="353">
        <v>709.02</v>
      </c>
      <c r="H21" s="353"/>
      <c r="I21" s="32"/>
      <c r="J21" s="397"/>
      <c r="K21" s="397"/>
      <c r="L21" s="397"/>
      <c r="M21" s="397"/>
      <c r="N21" s="397"/>
    </row>
    <row r="22" spans="1:14" ht="52.75" customHeight="1">
      <c r="A22" s="351">
        <v>20</v>
      </c>
      <c r="B22" s="351" t="str">
        <f>VLOOKUP(Tabla7[[#This Row],[No. Exp]],Tabla6[],2)</f>
        <v>René Acosta Cruz</v>
      </c>
      <c r="C22" s="404">
        <f>(19.62+2.18)+2.18</f>
        <v>23.98</v>
      </c>
      <c r="D22" s="355">
        <f>4999.5+Tabla7[[#This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6417.5400000000009</v>
      </c>
      <c r="E22" s="353">
        <v>709.02</v>
      </c>
      <c r="F22" s="353"/>
      <c r="G22" s="353">
        <v>709.02</v>
      </c>
      <c r="H22" s="30"/>
      <c r="I22" s="32"/>
      <c r="J22" s="397"/>
      <c r="K22" s="397"/>
      <c r="L22" s="397"/>
      <c r="M22" s="397"/>
      <c r="N22" s="397"/>
    </row>
    <row r="23" spans="1:14" ht="52.75" customHeight="1">
      <c r="A23" s="351">
        <v>21</v>
      </c>
      <c r="B23" s="351" t="str">
        <f>VLOOKUP(Tabla7[[#This Row],[No. Exp]],Tabla6[],2)</f>
        <v>Raymel Pérez Hernández</v>
      </c>
      <c r="C23" s="404">
        <f>(15.26+2.18)+2.18</f>
        <v>19.62</v>
      </c>
      <c r="D23" s="355">
        <f>4051.89+Tabla7[[#This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5451.75</v>
      </c>
      <c r="E23" s="353">
        <v>699.93</v>
      </c>
      <c r="F23" s="353"/>
      <c r="G23" s="353">
        <v>699.93</v>
      </c>
      <c r="H23" s="30"/>
      <c r="I23" s="32"/>
      <c r="J23" s="397"/>
      <c r="K23" s="397"/>
      <c r="L23" s="397"/>
      <c r="M23" s="397"/>
      <c r="N23" s="397"/>
    </row>
    <row r="24" spans="1:14" ht="54.9" customHeight="1">
      <c r="A24" s="351">
        <v>22</v>
      </c>
      <c r="B24" s="351" t="str">
        <f>VLOOKUP(Tabla7[[#This Row],[No. Exp]],Tabla6[],2)</f>
        <v xml:space="preserve">Amaury Acosta Hernández </v>
      </c>
      <c r="C24" s="404">
        <f>(7.63+2.18)+2.18</f>
        <v>11.99</v>
      </c>
      <c r="D24" s="355">
        <f>2027.11+Tabla7[[#This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3426.97</v>
      </c>
      <c r="E24" s="353">
        <v>699.93</v>
      </c>
      <c r="F24" s="353"/>
      <c r="G24" s="353">
        <v>699.93</v>
      </c>
      <c r="H24" s="30"/>
      <c r="I24" s="32"/>
      <c r="J24" s="397"/>
      <c r="K24" s="397"/>
      <c r="L24" s="397"/>
      <c r="M24" s="397"/>
      <c r="N24" s="397"/>
    </row>
    <row r="25" spans="1:14" ht="54.9" customHeight="1">
      <c r="A25" s="351">
        <v>23</v>
      </c>
      <c r="B25" s="351" t="str">
        <f>VLOOKUP(Tabla7[[#This Row],[No. Exp]],Tabla6[],2)</f>
        <v>Bernardo Alfredo Zamora Sánchez</v>
      </c>
      <c r="C25" s="404">
        <f>(7.63+2.18-5)+2.18</f>
        <v>6.99</v>
      </c>
      <c r="D25" s="355">
        <f>2027.11+Tabla7[[#This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1822.81</v>
      </c>
      <c r="E25" s="353">
        <v>699.93</v>
      </c>
      <c r="F25" s="353">
        <v>-1604.16</v>
      </c>
      <c r="G25" s="353">
        <v>699.93</v>
      </c>
      <c r="H25" s="30"/>
      <c r="I25" s="32"/>
      <c r="J25" s="397"/>
      <c r="K25" s="397"/>
      <c r="L25" s="397"/>
      <c r="M25" s="397"/>
      <c r="N25" s="397"/>
    </row>
    <row r="26" spans="1:14" ht="57" customHeight="1">
      <c r="A26" s="351">
        <v>24</v>
      </c>
      <c r="B26" s="351" t="str">
        <f>VLOOKUP(Tabla7[[#This Row],[No. Exp]],Tabla6[],2)</f>
        <v xml:space="preserve">José Zorrilla Aguilar </v>
      </c>
      <c r="C26" s="404">
        <f>(7.63+2.18)+2.18</f>
        <v>11.99</v>
      </c>
      <c r="D26" s="355">
        <f>2027.11+Tabla7[[#This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3426.97</v>
      </c>
      <c r="E26" s="353">
        <v>699.93</v>
      </c>
      <c r="F26" s="353"/>
      <c r="G26" s="353">
        <v>699.93</v>
      </c>
      <c r="H26" s="30"/>
      <c r="I26" s="32"/>
      <c r="J26" s="397"/>
      <c r="K26" s="397"/>
      <c r="L26" s="397"/>
      <c r="M26" s="397"/>
      <c r="N26" s="397"/>
    </row>
    <row r="27" spans="1:14" ht="59.15" customHeight="1">
      <c r="A27" s="351">
        <v>25</v>
      </c>
      <c r="B27" s="351" t="str">
        <f>VLOOKUP(Tabla7[[#This Row],[No. Exp]],Tabla6[],2)</f>
        <v>Pedro Emilio Robaina Morales</v>
      </c>
      <c r="C27" s="404">
        <f>(9.26+2.18)+2.18</f>
        <v>13.62</v>
      </c>
      <c r="D27" s="355">
        <f>2317.95+Tabla7[[#This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3735.99</v>
      </c>
      <c r="E27" s="353">
        <v>709.02</v>
      </c>
      <c r="F27" s="353"/>
      <c r="G27" s="353">
        <v>709.02</v>
      </c>
      <c r="H27" s="30"/>
      <c r="I27" s="32"/>
      <c r="J27" s="397"/>
      <c r="K27" s="397"/>
      <c r="L27" s="397"/>
      <c r="M27" s="397"/>
      <c r="N27" s="397"/>
    </row>
    <row r="28" spans="1:14" ht="57" customHeight="1">
      <c r="A28" s="351">
        <v>27</v>
      </c>
      <c r="B28" s="351" t="str">
        <f>VLOOKUP(Tabla7[[#This Row],[No. Exp]],Tabla6[],2)</f>
        <v>Exsuan José Carvajal</v>
      </c>
      <c r="C28" s="404">
        <f>(10.9+2.18)+2.18</f>
        <v>15.26</v>
      </c>
      <c r="D28" s="355">
        <f>2854.26+Tabla7[[#This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4272.3</v>
      </c>
      <c r="E28" s="353">
        <v>709.02</v>
      </c>
      <c r="F28" s="353"/>
      <c r="G28" s="353">
        <v>709.02</v>
      </c>
      <c r="H28" s="30"/>
      <c r="I28" s="32"/>
      <c r="J28" s="397"/>
      <c r="K28" s="397"/>
      <c r="L28" s="397"/>
      <c r="M28" s="397"/>
      <c r="N28" s="397"/>
    </row>
    <row r="29" spans="1:14" ht="50.15" customHeight="1">
      <c r="A29" s="351">
        <v>28</v>
      </c>
      <c r="B29" s="351" t="str">
        <f>VLOOKUP(Tabla7[[#This Row],[No. Exp]],Tabla6[],2)</f>
        <v>Nestor Suárez Martínez</v>
      </c>
      <c r="C29" s="404">
        <f>(10.9+2.18)+2.18</f>
        <v>15.26</v>
      </c>
      <c r="D29" s="355">
        <f>2854.26+Tabla7[[#This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4272.3</v>
      </c>
      <c r="E29" s="353">
        <v>709.02</v>
      </c>
      <c r="F29" s="353"/>
      <c r="G29" s="353">
        <v>709.02</v>
      </c>
      <c r="H29" s="30"/>
      <c r="I29" s="32"/>
      <c r="J29" s="397"/>
      <c r="K29" s="397"/>
      <c r="L29" s="397"/>
      <c r="M29" s="397"/>
      <c r="N29" s="397"/>
    </row>
    <row r="30" spans="1:14" ht="48" customHeight="1">
      <c r="A30" s="351">
        <v>29</v>
      </c>
      <c r="B30" s="351" t="str">
        <f>VLOOKUP(Tabla7[[#This Row],[No. Exp]],Tabla6[],2)</f>
        <v>Rafael Arias Aldana</v>
      </c>
      <c r="C30" s="404">
        <f>(10.9+2.18)+2.18</f>
        <v>15.26</v>
      </c>
      <c r="D30" s="355">
        <f>2854.26+Tabla7[[#This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4272.3</v>
      </c>
      <c r="E30" s="353">
        <v>709.02</v>
      </c>
      <c r="F30" s="353"/>
      <c r="G30" s="353">
        <v>709.02</v>
      </c>
      <c r="H30" s="30"/>
      <c r="I30" s="32"/>
      <c r="J30" s="397"/>
      <c r="K30" s="397"/>
      <c r="L30" s="397"/>
      <c r="M30" s="397"/>
      <c r="N30" s="397"/>
    </row>
    <row r="31" spans="1:14" ht="52.75" customHeight="1">
      <c r="A31" s="351">
        <v>30</v>
      </c>
      <c r="B31" s="351" t="str">
        <f>VLOOKUP(Tabla7[[#This Row],[No. Exp]],Tabla6[],2)</f>
        <v>María Eugenia Cuevas Aguilera</v>
      </c>
      <c r="C31" s="404">
        <f>(16.43+2.18-7)+2.18</f>
        <v>13.79</v>
      </c>
      <c r="D31" s="355">
        <f>3539.43+Tabla7[[#This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2660.5</v>
      </c>
      <c r="E31" s="353">
        <v>727.2</v>
      </c>
      <c r="F31" s="353">
        <v>-2333.33</v>
      </c>
      <c r="G31" s="353">
        <v>727.2</v>
      </c>
      <c r="H31" s="30"/>
      <c r="I31" s="32"/>
      <c r="J31" s="397"/>
      <c r="K31" s="397"/>
      <c r="L31" s="397"/>
      <c r="M31" s="397"/>
      <c r="N31" s="397"/>
    </row>
    <row r="32" spans="1:14" ht="52.75" customHeight="1">
      <c r="A32" s="351">
        <v>31</v>
      </c>
      <c r="B32" s="351" t="str">
        <f>VLOOKUP(Tabla7[[#This Row],[No. Exp]],Tabla6[],2)</f>
        <v>Yadira Araújo Zaldívar</v>
      </c>
      <c r="C32" s="404">
        <f>(22.88+2.18)+2.18</f>
        <v>27.24</v>
      </c>
      <c r="D32" s="355">
        <f>5648.66+Tabla7[[#This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7103.0599999999995</v>
      </c>
      <c r="E32" s="353">
        <v>727.2</v>
      </c>
      <c r="F32" s="353"/>
      <c r="G32" s="353">
        <v>727.2</v>
      </c>
      <c r="H32" s="30"/>
      <c r="I32" s="32"/>
      <c r="J32" s="397"/>
      <c r="K32" s="397"/>
      <c r="L32" s="397"/>
      <c r="M32" s="397"/>
      <c r="N32" s="397"/>
    </row>
    <row r="33" spans="1:14" s="362" customFormat="1" ht="48" customHeight="1">
      <c r="A33" s="356">
        <v>32</v>
      </c>
      <c r="B33" s="356" t="str">
        <f>VLOOKUP(Tabla7[[#This Row],[No. Exp]],Tabla6[],2)</f>
        <v>Jaila Victoria Vázquez Delgado</v>
      </c>
      <c r="C33" s="357">
        <v>0</v>
      </c>
      <c r="D33" s="358">
        <f>7162.92+Tabla7[[#This Row],[octubre]]+Tabla7[[#This Row],[octubre2]]+Tabla7[[#This Row],[noviembre]]+Tabla7[[#This Row],[noviembre2]]+Tabla7[[#This Row],[diciembre]]+Tabla7[[#This Row],[diciembre2]]</f>
        <v>0</v>
      </c>
      <c r="E33" s="359">
        <v>727.2</v>
      </c>
      <c r="F33" s="359">
        <v>-3333.33</v>
      </c>
      <c r="G33" s="359">
        <v>727.2</v>
      </c>
      <c r="H33" s="401">
        <v>-5283.99</v>
      </c>
      <c r="I33" s="361"/>
      <c r="J33" s="398"/>
      <c r="K33" s="398"/>
      <c r="L33" s="398"/>
      <c r="M33" s="398"/>
      <c r="N33" s="398"/>
    </row>
    <row r="34" spans="1:14" ht="57" customHeight="1">
      <c r="A34" s="351">
        <v>33</v>
      </c>
      <c r="B34" s="351" t="str">
        <f>VLOOKUP(Tabla7[[#This Row],[No. Exp]],Tabla6[],2)</f>
        <v>Daned Montesino Hernández</v>
      </c>
      <c r="C34" s="404">
        <f>(17.06+2.18)+2.18</f>
        <v>21.419999999999998</v>
      </c>
      <c r="D34" s="355">
        <f>3231.49+Tabla7[[#This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4685.8899999999994</v>
      </c>
      <c r="E34" s="353">
        <v>727.2</v>
      </c>
      <c r="F34" s="353"/>
      <c r="G34" s="353">
        <v>727.2</v>
      </c>
      <c r="H34" s="353"/>
      <c r="I34" s="32"/>
      <c r="J34" s="397"/>
      <c r="K34" s="397"/>
      <c r="L34" s="397"/>
      <c r="M34" s="397"/>
      <c r="N34" s="397"/>
    </row>
    <row r="35" spans="1:14" ht="44.15" customHeight="1">
      <c r="A35" s="351">
        <v>34</v>
      </c>
      <c r="B35" s="351" t="str">
        <f>VLOOKUP(Tabla7[[#This Row],[No. Exp]],Tabla6[],2)</f>
        <v>Lia León López</v>
      </c>
      <c r="C35" s="404">
        <f>(28.32+2.18-10)+2.18</f>
        <v>22.68</v>
      </c>
      <c r="D35" s="355">
        <f>7162.92+Tabla7[[#This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5283.99</v>
      </c>
      <c r="E35" s="353">
        <v>727.2</v>
      </c>
      <c r="F35" s="353">
        <v>-3333.33</v>
      </c>
      <c r="G35" s="353">
        <v>727.2</v>
      </c>
      <c r="H35" s="353"/>
      <c r="I35" s="32"/>
      <c r="J35" s="397"/>
      <c r="K35" s="397"/>
      <c r="L35" s="397"/>
      <c r="M35" s="397"/>
      <c r="N35" s="397"/>
    </row>
    <row r="36" spans="1:14" ht="50.25" customHeight="1">
      <c r="A36" s="351">
        <v>36</v>
      </c>
      <c r="B36" s="351" t="str">
        <f>VLOOKUP(Tabla7[[#This Row],[No. Exp]],Tabla6[],2)</f>
        <v>Janet Martínez Rodríguez</v>
      </c>
      <c r="C36" s="404">
        <f>(24.06+2.18)+2.18</f>
        <v>28.419999999999998</v>
      </c>
      <c r="D36" s="355">
        <f>3356.76+Tabla7[[#This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4811.16</v>
      </c>
      <c r="E36" s="353">
        <v>727.2</v>
      </c>
      <c r="F36" s="353"/>
      <c r="G36" s="353">
        <v>727.2</v>
      </c>
      <c r="H36" s="353"/>
      <c r="I36" s="32"/>
      <c r="J36" s="397"/>
      <c r="K36" s="397"/>
      <c r="L36" s="397"/>
      <c r="M36" s="397"/>
      <c r="N36" s="397"/>
    </row>
    <row r="37" spans="1:14" ht="48" customHeight="1">
      <c r="A37" s="351">
        <v>39</v>
      </c>
      <c r="B37" s="351" t="str">
        <f>VLOOKUP(Tabla7[[#This Row],[No. Exp]],Tabla6[],2)</f>
        <v>Elizabeth Hernández González</v>
      </c>
      <c r="C37" s="404">
        <f>(24.52+2.18-10)+2.18</f>
        <v>18.88</v>
      </c>
      <c r="D37" s="355">
        <f>6224.4+Tabla7[[#This Row],[octubre]]+Tabla7[[#This Row],[octubre2]]+Tabla7[[#This Row],[noviembre]]+Tabla7[[#This Row],[noviembre2]]+Tabla7[[#This Row],[diciembre]]+Tabla7[[#This Row],[diciembre2]]+Tabla7[[#This Row],[enero 2026]]+Tabla7[[#This Row],[enero 20262]]+Tabla7[[#This Row],[febrero 2026]]+Tabla7[[#This Row],[febrero2026]]</f>
        <v>4345.4699999999993</v>
      </c>
      <c r="E37" s="353">
        <v>727.2</v>
      </c>
      <c r="F37" s="353"/>
      <c r="G37" s="353">
        <v>727.2</v>
      </c>
      <c r="H37" s="353">
        <v>-3333.33</v>
      </c>
      <c r="I37" s="32"/>
      <c r="J37" s="397"/>
      <c r="K37" s="397"/>
      <c r="L37" s="397"/>
      <c r="M37" s="397"/>
      <c r="N37" s="397"/>
    </row>
    <row r="38" spans="1:14" ht="50.15" customHeight="1">
      <c r="A38" s="351">
        <v>40</v>
      </c>
      <c r="B38" s="351" t="str">
        <f>VLOOKUP(Tabla7[[#This Row],[No. Exp]],Tabla6[],2)</f>
        <v xml:space="preserve">Yunet de la Caridad Sotelo Porto </v>
      </c>
      <c r="C38" s="404">
        <f>(10.44+2.18)+2.18</f>
        <v>14.799999999999999</v>
      </c>
      <c r="D38" s="355">
        <f>2872.44+Tabla7[[#This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4326.84</v>
      </c>
      <c r="E38" s="353">
        <v>727.2</v>
      </c>
      <c r="F38" s="353"/>
      <c r="G38" s="353">
        <v>727.2</v>
      </c>
      <c r="H38" s="353"/>
      <c r="I38" s="32"/>
      <c r="J38" s="397"/>
      <c r="K38" s="397"/>
      <c r="L38" s="397"/>
      <c r="M38" s="397"/>
      <c r="N38" s="397"/>
    </row>
    <row r="39" spans="1:14" s="362" customFormat="1" ht="52.75" customHeight="1">
      <c r="A39" s="356">
        <v>41</v>
      </c>
      <c r="B39" s="356" t="str">
        <f>VLOOKUP(Tabla7[[#This Row],[No. Exp]],Tabla6[],2)</f>
        <v>Michel del Sol Hernández</v>
      </c>
      <c r="C39" s="357">
        <v>0</v>
      </c>
      <c r="D39" s="358">
        <v>0</v>
      </c>
      <c r="E39" s="358">
        <f ca="1">4459.04+Tabla7[[#This Row],[octubre]]</f>
        <v>5186.24</v>
      </c>
      <c r="F39" s="358"/>
      <c r="G39" s="363" t="s">
        <v>236</v>
      </c>
      <c r="H39" s="363"/>
      <c r="I39" s="361"/>
      <c r="J39" s="398"/>
      <c r="K39" s="398"/>
      <c r="L39" s="398"/>
      <c r="M39" s="398"/>
      <c r="N39" s="398"/>
    </row>
    <row r="40" spans="1:14" ht="52.85" customHeight="1">
      <c r="A40" s="351">
        <v>42</v>
      </c>
      <c r="B40" s="351" t="str">
        <f>VLOOKUP(Tabla7[[#This Row],[No. Exp]],Tabla6[],2)</f>
        <v>Laura Lobaina Llera</v>
      </c>
      <c r="C40" s="404">
        <f>(12.8+2.18)+2.18</f>
        <v>17.16</v>
      </c>
      <c r="D40" s="355">
        <f>3341.71+Tabla7[[#This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4796.1099999999997</v>
      </c>
      <c r="E40" s="353">
        <v>727.2</v>
      </c>
      <c r="F40" s="353"/>
      <c r="G40" s="353">
        <v>727.2</v>
      </c>
      <c r="H40" s="353"/>
      <c r="I40" s="32"/>
      <c r="J40" s="397"/>
      <c r="K40" s="397"/>
      <c r="L40" s="397"/>
      <c r="M40" s="397"/>
      <c r="N40" s="397"/>
    </row>
    <row r="41" spans="1:14" ht="52.75" customHeight="1">
      <c r="A41" s="351">
        <v>47</v>
      </c>
      <c r="B41" s="351" t="str">
        <f>VLOOKUP(Tabla7[[#This Row],[No. Exp]],Tabla6[],2)</f>
        <v xml:space="preserve">Sheila González Tuero </v>
      </c>
      <c r="C41" s="404">
        <f>(7.08+2.18)+2.18</f>
        <v>11.44</v>
      </c>
      <c r="D41" s="355">
        <f>1933.92+Tabla7[[#This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3388.3199999999997</v>
      </c>
      <c r="E41" s="353">
        <v>727.2</v>
      </c>
      <c r="F41" s="353"/>
      <c r="G41" s="353">
        <v>727.2</v>
      </c>
      <c r="H41" s="353"/>
      <c r="I41" s="32"/>
      <c r="J41" s="397"/>
      <c r="K41" s="397"/>
      <c r="L41" s="397"/>
      <c r="M41" s="397"/>
      <c r="N41" s="397"/>
    </row>
    <row r="42" spans="1:14" ht="52.75" customHeight="1">
      <c r="A42" s="351">
        <v>48</v>
      </c>
      <c r="B42" s="351" t="str">
        <f>VLOOKUP(Tabla7[[#This Row],[No. Exp]],Tabla6[],2)</f>
        <v>Onel Angel Martínez López</v>
      </c>
      <c r="C42" s="404">
        <f>(8.72+2.18)+2.18</f>
        <v>13.08</v>
      </c>
      <c r="D42" s="355">
        <f>2336.13+Tabla7[[#This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3790.5299999999997</v>
      </c>
      <c r="E42" s="353">
        <v>727.2</v>
      </c>
      <c r="F42" s="353"/>
      <c r="G42" s="353">
        <v>727.2</v>
      </c>
      <c r="H42" s="353"/>
      <c r="I42" s="32"/>
      <c r="J42" s="397"/>
      <c r="K42" s="397"/>
      <c r="L42" s="397"/>
      <c r="M42" s="397"/>
      <c r="N42" s="397"/>
    </row>
    <row r="43" spans="1:14" ht="52.75" customHeight="1">
      <c r="A43" s="351">
        <v>49</v>
      </c>
      <c r="B43" s="351" t="str">
        <f>VLOOKUP(Tabla7[[#This Row],[No. Exp]],Tabla6[],2)</f>
        <v>Abraham Rodríguez Colina</v>
      </c>
      <c r="C43" s="404">
        <f>(9.35+2.18)+2.18</f>
        <v>13.709999999999999</v>
      </c>
      <c r="D43" s="355">
        <f>2492.56+Tabla7[[#This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3946.96</v>
      </c>
      <c r="E43" s="353">
        <v>727.2</v>
      </c>
      <c r="F43" s="353"/>
      <c r="G43" s="353">
        <v>727.2</v>
      </c>
      <c r="H43" s="353"/>
      <c r="I43" s="32"/>
      <c r="J43" s="397"/>
      <c r="K43" s="397"/>
      <c r="L43" s="397"/>
      <c r="M43" s="397"/>
      <c r="N43" s="397"/>
    </row>
    <row r="44" spans="1:14" ht="50.15" customHeight="1">
      <c r="A44" s="351">
        <v>50</v>
      </c>
      <c r="B44" s="351" t="str">
        <f>VLOOKUP(Tabla7[[#This Row],[No. Exp]],Tabla6[],2)</f>
        <v>Roberto Palacios Díaz</v>
      </c>
      <c r="C44" s="404">
        <f>(24.71+2.18-10)+2.18</f>
        <v>19.07</v>
      </c>
      <c r="D44" s="355">
        <f>6269.09+Tabla7[[#This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4390.16</v>
      </c>
      <c r="E44" s="353">
        <v>727.2</v>
      </c>
      <c r="F44" s="353"/>
      <c r="G44" s="353">
        <v>727.2</v>
      </c>
      <c r="H44" s="353">
        <v>-3333.33</v>
      </c>
      <c r="I44" s="32"/>
      <c r="J44" s="397"/>
      <c r="K44" s="397"/>
      <c r="L44" s="397"/>
      <c r="M44" s="397"/>
      <c r="N44" s="397"/>
    </row>
    <row r="45" spans="1:14" ht="52.75" customHeight="1">
      <c r="A45" s="351">
        <v>51</v>
      </c>
      <c r="B45" s="351" t="str">
        <f>VLOOKUP(Tabla7[[#This Row],[No. Exp]],Tabla6[],2)</f>
        <v xml:space="preserve">Ana Gloria Delgado Rodriguez </v>
      </c>
      <c r="C45" s="404">
        <f>(17.44+2.18)+2.18</f>
        <v>21.8</v>
      </c>
      <c r="D45" s="355">
        <f>4235.57+Tabla7[[#This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5689.9699999999993</v>
      </c>
      <c r="E45" s="353">
        <v>727.2</v>
      </c>
      <c r="F45" s="353"/>
      <c r="G45" s="353">
        <v>727.2</v>
      </c>
      <c r="H45" s="353"/>
      <c r="I45" s="32"/>
      <c r="J45" s="397"/>
      <c r="K45" s="397"/>
      <c r="L45" s="397"/>
      <c r="M45" s="397"/>
      <c r="N45" s="397"/>
    </row>
    <row r="46" spans="1:14" ht="50.15" customHeight="1">
      <c r="A46" s="351">
        <v>53</v>
      </c>
      <c r="B46" s="351" t="str">
        <f>VLOOKUP(Tabla7[[#This Row],[No. Exp]],Tabla6[],2)</f>
        <v>Rowder Fernández Matos</v>
      </c>
      <c r="C46" s="404">
        <f>(8.7+2.18)+2.18</f>
        <v>13.059999999999999</v>
      </c>
      <c r="D46" s="355">
        <f>2958.25+Tabla7[[#This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4412.6499999999996</v>
      </c>
      <c r="E46" s="353">
        <v>727.2</v>
      </c>
      <c r="F46" s="353"/>
      <c r="G46" s="353">
        <v>727.2</v>
      </c>
      <c r="H46" s="353"/>
      <c r="I46" s="32"/>
      <c r="J46" s="397"/>
      <c r="K46" s="397"/>
      <c r="L46" s="397"/>
      <c r="M46" s="397"/>
      <c r="N46" s="397"/>
    </row>
    <row r="47" spans="1:14" ht="48" customHeight="1">
      <c r="A47" s="351">
        <v>54</v>
      </c>
      <c r="B47" s="351" t="str">
        <f>VLOOKUP(Tabla7[[#This Row],[No. Exp]],Tabla6[],2)</f>
        <v>Dael David Rodríguez Noa</v>
      </c>
      <c r="C47" s="404">
        <f>(10.71+2.18)+2.18</f>
        <v>15.07</v>
      </c>
      <c r="D47" s="355">
        <f>2827.76+Tabla7[[#This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4282.16</v>
      </c>
      <c r="E47" s="353">
        <v>727.2</v>
      </c>
      <c r="F47" s="353"/>
      <c r="G47" s="353">
        <v>727.2</v>
      </c>
      <c r="H47" s="353"/>
      <c r="I47" s="32"/>
      <c r="J47" s="397"/>
      <c r="K47" s="397"/>
      <c r="L47" s="397"/>
      <c r="M47" s="397"/>
      <c r="N47" s="397"/>
    </row>
    <row r="48" spans="1:14" ht="52.75" customHeight="1">
      <c r="A48" s="351">
        <v>55</v>
      </c>
      <c r="B48" s="351" t="str">
        <f>VLOOKUP(Tabla7[[#This Row],[No. Exp]],Tabla6[],2)</f>
        <v>Michel Abreu Pardo</v>
      </c>
      <c r="C48" s="404">
        <f>(6.81+2.18)+2.18</f>
        <v>11.17</v>
      </c>
      <c r="D48" s="355">
        <f>1866.88+Tabla7[[#This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3321.2799999999997</v>
      </c>
      <c r="E48" s="353">
        <v>727.2</v>
      </c>
      <c r="F48" s="353"/>
      <c r="G48" s="353">
        <v>727.2</v>
      </c>
      <c r="H48" s="353"/>
      <c r="I48" s="32"/>
      <c r="J48" s="397"/>
      <c r="K48" s="397"/>
      <c r="L48" s="397"/>
      <c r="M48" s="397"/>
      <c r="N48" s="397"/>
    </row>
    <row r="49" spans="1:14" ht="48" customHeight="1">
      <c r="A49" s="351">
        <v>56</v>
      </c>
      <c r="B49" s="351" t="str">
        <f>VLOOKUP(Tabla7[[#This Row],[No. Exp]],Tabla6[],2)</f>
        <v>María Ofelia Morgado Rodríguez</v>
      </c>
      <c r="C49" s="404">
        <f>(21.8+2.18)+2.18</f>
        <v>26.16</v>
      </c>
      <c r="D49" s="355">
        <f>6226.65+Tabla7[[#This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7771.9499999999989</v>
      </c>
      <c r="E49" s="353">
        <v>772.65</v>
      </c>
      <c r="F49" s="353"/>
      <c r="G49" s="353">
        <v>772.65</v>
      </c>
      <c r="H49" s="353"/>
      <c r="I49" s="32"/>
      <c r="J49" s="397"/>
      <c r="K49" s="397"/>
      <c r="L49" s="397"/>
      <c r="M49" s="397"/>
      <c r="N49" s="397"/>
    </row>
    <row r="50" spans="1:14" ht="52.75" customHeight="1">
      <c r="A50" s="351">
        <v>57</v>
      </c>
      <c r="B50" s="351" t="str">
        <f>VLOOKUP(Tabla7[[#This Row],[No. Exp]],Tabla6[],2)</f>
        <v>Pedro Luis Cruz Luna</v>
      </c>
      <c r="C50" s="404">
        <f>(23.98+2.18)+2.18</f>
        <v>28.34</v>
      </c>
      <c r="D50" s="355">
        <f>6090.3+Tabla7[[#This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7544.7</v>
      </c>
      <c r="E50" s="353">
        <v>727.2</v>
      </c>
      <c r="F50" s="353"/>
      <c r="G50" s="353">
        <v>727.2</v>
      </c>
      <c r="H50" s="353"/>
      <c r="I50" s="32"/>
      <c r="J50" s="397"/>
      <c r="K50" s="397"/>
      <c r="L50" s="397"/>
      <c r="M50" s="397"/>
      <c r="N50" s="397"/>
    </row>
    <row r="51" spans="1:14" ht="48.45" customHeight="1">
      <c r="A51" s="351">
        <v>58</v>
      </c>
      <c r="B51" s="351" t="str">
        <f>VLOOKUP(Tabla7[[#This Row],[No. Exp]],Tabla6[],2)</f>
        <v>Amanda Valdés Cabrera</v>
      </c>
      <c r="C51" s="404">
        <f>(19.62+2.18)+2.18</f>
        <v>23.98</v>
      </c>
      <c r="D51" s="355">
        <f>5017.68+Tabla7[[#This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6472.08</v>
      </c>
      <c r="E51" s="353">
        <v>727.2</v>
      </c>
      <c r="F51" s="353"/>
      <c r="G51" s="353">
        <v>727.2</v>
      </c>
      <c r="H51" s="353"/>
      <c r="I51" s="32"/>
      <c r="J51" s="397"/>
      <c r="K51" s="397"/>
      <c r="L51" s="397"/>
      <c r="M51" s="397"/>
      <c r="N51" s="397"/>
    </row>
    <row r="52" spans="1:14" ht="61.75" customHeight="1">
      <c r="A52" s="351">
        <v>59</v>
      </c>
      <c r="B52" s="351" t="str">
        <f>VLOOKUP(Tabla7[[#This Row],[No. Exp]],Tabla6[],2)</f>
        <v>Beatriz González Santana</v>
      </c>
      <c r="C52" s="404">
        <f>(19.62+2.18-5)+2.18</f>
        <v>18.98</v>
      </c>
      <c r="D52" s="355">
        <f>5017.68+Tabla7[[#This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4805.4399999999996</v>
      </c>
      <c r="E52" s="353">
        <v>727.2</v>
      </c>
      <c r="F52" s="353">
        <v>-1666.64</v>
      </c>
      <c r="G52" s="353">
        <v>727.2</v>
      </c>
      <c r="H52" s="353"/>
      <c r="I52" s="32"/>
      <c r="J52" s="397"/>
      <c r="K52" s="397"/>
      <c r="L52" s="397"/>
      <c r="M52" s="397"/>
      <c r="N52" s="397"/>
    </row>
    <row r="53" spans="1:14" ht="54.9" customHeight="1">
      <c r="A53" s="351">
        <v>61</v>
      </c>
      <c r="B53" s="351" t="str">
        <f>VLOOKUP(Tabla7[[#This Row],[No. Exp]],Tabla6[],2)</f>
        <v>Lisbet Pina Crespo</v>
      </c>
      <c r="C53" s="404">
        <f>(7.9+2.18)+2.18</f>
        <v>12.26</v>
      </c>
      <c r="D53" s="355">
        <f>2135.02+Tabla7[[#This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3589.42</v>
      </c>
      <c r="E53" s="353">
        <v>727.2</v>
      </c>
      <c r="F53" s="353"/>
      <c r="G53" s="353">
        <v>727.2</v>
      </c>
      <c r="H53" s="30"/>
      <c r="I53" s="130"/>
      <c r="J53" s="397"/>
      <c r="K53" s="397"/>
      <c r="L53" s="397"/>
      <c r="M53" s="397"/>
      <c r="N53" s="397"/>
    </row>
    <row r="54" spans="1:14" ht="50.15" customHeight="1">
      <c r="A54" s="351">
        <v>62</v>
      </c>
      <c r="B54" s="351" t="str">
        <f>VLOOKUP(Tabla7[[#This Row],[No. Exp]],Tabla6[],2)</f>
        <v>Marlys de la Caridad Rodriguez Santana</v>
      </c>
      <c r="C54" s="404">
        <f>(7.81+2.18)+2.18</f>
        <v>12.17</v>
      </c>
      <c r="D54" s="355">
        <f>2112.68+Tabla7[[#This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3567.08</v>
      </c>
      <c r="E54" s="353">
        <v>727.2</v>
      </c>
      <c r="F54" s="353"/>
      <c r="G54" s="353">
        <v>727.2</v>
      </c>
      <c r="H54" s="30"/>
      <c r="I54" s="32"/>
      <c r="J54" s="397"/>
      <c r="K54" s="397"/>
      <c r="L54" s="397"/>
      <c r="M54" s="397"/>
      <c r="N54" s="397"/>
    </row>
    <row r="55" spans="1:14" ht="57" customHeight="1">
      <c r="A55" s="351">
        <v>63</v>
      </c>
      <c r="B55" s="351" t="str">
        <f>VLOOKUP(Tabla7[[#This Row],[No. Exp]],Tabla6[],2)</f>
        <v>Dariel Alberto Pérez Cancio</v>
      </c>
      <c r="C55" s="404">
        <f>(12.26+2.18)+2.18</f>
        <v>16.62</v>
      </c>
      <c r="D55" s="355">
        <f>3122.23+Tabla7[[#This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4540.2700000000004</v>
      </c>
      <c r="E55" s="353">
        <v>709.02</v>
      </c>
      <c r="F55" s="353"/>
      <c r="G55" s="353">
        <v>709.02</v>
      </c>
      <c r="H55" s="30"/>
      <c r="I55" s="32"/>
      <c r="J55" s="397"/>
      <c r="K55" s="397"/>
      <c r="L55" s="397"/>
      <c r="M55" s="397"/>
      <c r="N55" s="397"/>
    </row>
    <row r="56" spans="1:14" ht="57" customHeight="1">
      <c r="A56" s="351">
        <v>65</v>
      </c>
      <c r="B56" s="351" t="str">
        <f>VLOOKUP(Tabla7[[#This Row],[No. Exp]],Tabla6[],2)</f>
        <v>Dasiel Hernández García</v>
      </c>
      <c r="C56" s="404">
        <f>(7.26+2.18)+2.18</f>
        <v>11.62</v>
      </c>
      <c r="D56" s="355">
        <f>3926.88+Tabla7[[#This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5344.92</v>
      </c>
      <c r="E56" s="353">
        <v>709.02</v>
      </c>
      <c r="F56" s="353"/>
      <c r="G56" s="353">
        <v>709.02</v>
      </c>
      <c r="H56" s="30"/>
      <c r="I56" s="32"/>
      <c r="J56" s="397"/>
      <c r="K56" s="397"/>
      <c r="L56" s="397"/>
      <c r="M56" s="397"/>
      <c r="N56" s="397"/>
    </row>
    <row r="57" spans="1:14" ht="52.75" customHeight="1">
      <c r="A57" s="351">
        <v>66</v>
      </c>
      <c r="B57" s="351" t="str">
        <f>VLOOKUP(Tabla7[[#This Row],[No. Exp]],Tabla6[],2)</f>
        <v>Oscar Reyes García</v>
      </c>
      <c r="C57" s="404">
        <f>(15.26+2.18)+2.18</f>
        <v>19.62</v>
      </c>
      <c r="D57" s="355">
        <f>3926.88+Tabla7[[#This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5344.92</v>
      </c>
      <c r="E57" s="353">
        <v>709.02</v>
      </c>
      <c r="F57" s="353"/>
      <c r="G57" s="353">
        <v>709.02</v>
      </c>
      <c r="H57" s="30"/>
      <c r="I57" s="32"/>
      <c r="J57" s="397"/>
      <c r="K57" s="397"/>
      <c r="L57" s="397"/>
      <c r="M57" s="397"/>
      <c r="N57" s="397"/>
    </row>
    <row r="58" spans="1:14" ht="52.75" customHeight="1">
      <c r="A58" s="351">
        <v>67</v>
      </c>
      <c r="B58" s="351" t="str">
        <f>VLOOKUP(Tabla7[[#This Row],[No. Exp]],Tabla6[],2)</f>
        <v>Junior Pérez Ramos</v>
      </c>
      <c r="C58" s="404">
        <f>(15.26+2.18-5)+2.18</f>
        <v>14.620000000000001</v>
      </c>
      <c r="D58" s="355">
        <f>3926.88+Tabla7[[#This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3719.9199999999996</v>
      </c>
      <c r="E58" s="353">
        <v>709.02</v>
      </c>
      <c r="F58" s="353">
        <v>-1625</v>
      </c>
      <c r="G58" s="353">
        <v>709.02</v>
      </c>
      <c r="H58" s="30"/>
      <c r="I58" s="32"/>
      <c r="J58" s="397"/>
      <c r="K58" s="397"/>
      <c r="L58" s="397"/>
      <c r="M58" s="397"/>
      <c r="N58" s="397"/>
    </row>
    <row r="59" spans="1:14" ht="50.15" customHeight="1">
      <c r="A59" s="351">
        <v>68</v>
      </c>
      <c r="B59" s="351" t="str">
        <f>VLOOKUP(Tabla7[[#This Row],[No. Exp]],Tabla6[],2)</f>
        <v>Dayron Angel Pérez Chirino</v>
      </c>
      <c r="C59" s="404">
        <f>(15.26+2.18)+2.18</f>
        <v>19.62</v>
      </c>
      <c r="D59" s="355">
        <f>3926.88+Tabla7[[#This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5344.92</v>
      </c>
      <c r="E59" s="353">
        <v>709.02</v>
      </c>
      <c r="F59" s="353"/>
      <c r="G59" s="353">
        <v>709.02</v>
      </c>
      <c r="H59" s="30"/>
      <c r="I59" s="32"/>
      <c r="J59" s="397"/>
      <c r="K59" s="397"/>
      <c r="L59" s="397"/>
      <c r="M59" s="397"/>
      <c r="N59" s="397"/>
    </row>
    <row r="60" spans="1:14" ht="52.75" customHeight="1">
      <c r="A60" s="351">
        <v>70</v>
      </c>
      <c r="B60" s="351" t="str">
        <f>VLOOKUP(Tabla7[[#This Row],[No. Exp]],Tabla6[],2)</f>
        <v>Juan Carlos Pérez Morales</v>
      </c>
      <c r="C60" s="404">
        <f>(7.9+2.18)+2.18</f>
        <v>12.26</v>
      </c>
      <c r="D60" s="355">
        <f>2116.83+Tabla7[[#This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3534.87</v>
      </c>
      <c r="E60" s="353">
        <v>709.02</v>
      </c>
      <c r="F60" s="353"/>
      <c r="G60" s="353">
        <v>709.02</v>
      </c>
      <c r="H60" s="30"/>
      <c r="I60" s="32"/>
      <c r="J60" s="397"/>
      <c r="K60" s="397"/>
      <c r="L60" s="397"/>
      <c r="M60" s="397"/>
      <c r="N60" s="397"/>
    </row>
    <row r="61" spans="1:14" ht="61.75" customHeight="1">
      <c r="A61" s="351">
        <v>71</v>
      </c>
      <c r="B61" s="351" t="str">
        <f>VLOOKUP(Tabla7[[#This Row],[No. Exp]],Tabla6[],2)</f>
        <v>Andrea Otero Díaz</v>
      </c>
      <c r="C61" s="404">
        <f>(19.62+2.18)+2.18</f>
        <v>23.98</v>
      </c>
      <c r="D61" s="355">
        <f>4717.71+Tabla7[[#This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6081.21</v>
      </c>
      <c r="E61" s="353">
        <v>681.75</v>
      </c>
      <c r="F61" s="353"/>
      <c r="G61" s="353">
        <v>681.75</v>
      </c>
      <c r="H61" s="30"/>
      <c r="I61" s="32"/>
      <c r="J61" s="397"/>
      <c r="K61" s="397"/>
      <c r="L61" s="397"/>
      <c r="M61" s="397"/>
      <c r="N61" s="397"/>
    </row>
    <row r="62" spans="1:14" s="362" customFormat="1" ht="50.15" customHeight="1">
      <c r="A62" s="356">
        <v>73</v>
      </c>
      <c r="B62" s="356" t="str">
        <f>VLOOKUP(Tabla7[[#This Row],[No. Exp]],Tabla6[],2)</f>
        <v>Rafael Tamarit Duany</v>
      </c>
      <c r="C62" s="357">
        <v>0</v>
      </c>
      <c r="D62" s="358">
        <f>2620.24+Tabla7[[#This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-4.5474735088646412E-13</v>
      </c>
      <c r="E62" s="359">
        <v>699.93</v>
      </c>
      <c r="F62" s="396"/>
      <c r="G62" s="359">
        <v>699.93</v>
      </c>
      <c r="H62" s="359">
        <v>-4020.1</v>
      </c>
      <c r="I62" s="361"/>
      <c r="J62" s="398"/>
      <c r="K62" s="398"/>
      <c r="L62" s="398"/>
      <c r="M62" s="398"/>
      <c r="N62" s="398"/>
    </row>
    <row r="63" spans="1:14" ht="67.3" customHeight="1">
      <c r="A63" s="351">
        <v>74</v>
      </c>
      <c r="B63" s="351" t="str">
        <f>VLOOKUP(Tabla7[[#This Row],[No. Exp]],Tabla6[],2)</f>
        <v>Adriel Agramonte Bernaldes</v>
      </c>
      <c r="C63" s="404">
        <f>(17.44+2.18-7)+2.18</f>
        <v>14.8</v>
      </c>
      <c r="D63" s="355">
        <f>4262.08+Tabla7[[#This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3394.1299999999997</v>
      </c>
      <c r="E63" s="353">
        <v>718.11</v>
      </c>
      <c r="F63" s="353">
        <v>-2304.17</v>
      </c>
      <c r="G63" s="353">
        <v>718.11</v>
      </c>
      <c r="H63" s="30"/>
      <c r="I63" s="32"/>
      <c r="J63" s="397"/>
      <c r="K63" s="397"/>
      <c r="L63" s="397"/>
      <c r="M63" s="397"/>
      <c r="N63" s="397"/>
    </row>
    <row r="64" spans="1:14" ht="43.75" customHeight="1">
      <c r="A64" s="351">
        <v>75</v>
      </c>
      <c r="B64" s="351" t="str">
        <f>VLOOKUP(Tabla7[[#This Row],[No. Exp]],Tabla6[],2)</f>
        <v>Orestes Yamir Domínguez de la Puente</v>
      </c>
      <c r="C64" s="404">
        <f>(28.32+2.18)+2.18</f>
        <v>32.68</v>
      </c>
      <c r="D64" s="355">
        <f>7044.75+Tabla7[[#This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8480.9699999999993</v>
      </c>
      <c r="E64" s="353">
        <v>718.11</v>
      </c>
      <c r="F64" s="353"/>
      <c r="G64" s="353">
        <v>718.11</v>
      </c>
      <c r="H64" s="30"/>
      <c r="I64" s="32"/>
      <c r="J64" s="397"/>
      <c r="K64" s="397"/>
      <c r="L64" s="397"/>
      <c r="M64" s="397"/>
      <c r="N64" s="397"/>
    </row>
    <row r="65" spans="1:14" s="362" customFormat="1" ht="52.75" customHeight="1">
      <c r="A65" s="356">
        <v>76</v>
      </c>
      <c r="B65" s="356" t="str">
        <f>VLOOKUP(Tabla7[[#This Row],[No. Exp]],Tabla6[],2)</f>
        <v>Alain Carboneres Lezcano</v>
      </c>
      <c r="C65" s="357">
        <v>0</v>
      </c>
      <c r="D65" s="358">
        <v>0</v>
      </c>
      <c r="E65" s="359">
        <v>718.11</v>
      </c>
      <c r="F65" s="359">
        <v>5421.6</v>
      </c>
      <c r="G65" s="359">
        <v>718.11</v>
      </c>
      <c r="H65" s="360"/>
      <c r="I65" s="361"/>
      <c r="J65" s="398"/>
      <c r="K65" s="398"/>
      <c r="L65" s="398"/>
      <c r="M65" s="398"/>
      <c r="N65" s="398"/>
    </row>
    <row r="66" spans="1:14" s="362" customFormat="1" ht="52.75" customHeight="1">
      <c r="A66" s="356">
        <v>77</v>
      </c>
      <c r="B66" s="356" t="str">
        <f>VLOOKUP(Tabla7[[#This Row],[No. Exp]],Tabla6[],2)</f>
        <v>Adrián Tejeda Lobaina</v>
      </c>
      <c r="C66" s="357">
        <v>0</v>
      </c>
      <c r="D66" s="358">
        <f>4672.26+Tabla7[[#This Row],[octubre]]+Tabla7[[#This Row],[octubre2]]</f>
        <v>0</v>
      </c>
      <c r="E66" s="359">
        <v>718.11</v>
      </c>
      <c r="F66" s="359">
        <v>-5390.37</v>
      </c>
      <c r="G66" s="359">
        <v>718.11</v>
      </c>
      <c r="H66" s="360"/>
      <c r="I66" s="361"/>
      <c r="J66" s="398"/>
      <c r="K66" s="398"/>
      <c r="L66" s="398"/>
      <c r="M66" s="398"/>
      <c r="N66" s="398"/>
    </row>
    <row r="67" spans="1:14" ht="57" customHeight="1">
      <c r="A67" s="351">
        <v>78</v>
      </c>
      <c r="B67" s="351" t="str">
        <f>VLOOKUP(Tabla7[[#This Row],[No. Exp]],Tabla6[],2)</f>
        <v>Ernesto Roque Portal</v>
      </c>
      <c r="C67" s="404">
        <f>(25.07+2.18)+2.18</f>
        <v>29.43</v>
      </c>
      <c r="D67" s="355">
        <f>6253.96+Tabla7[[#This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7690.1799999999994</v>
      </c>
      <c r="E67" s="353">
        <v>718.11</v>
      </c>
      <c r="F67" s="353"/>
      <c r="G67" s="353">
        <v>718.11</v>
      </c>
      <c r="H67" s="30"/>
      <c r="I67" s="32"/>
      <c r="J67" s="397"/>
      <c r="K67" s="397"/>
      <c r="L67" s="397"/>
      <c r="M67" s="397"/>
      <c r="N67" s="397"/>
    </row>
    <row r="68" spans="1:14" ht="54.9" customHeight="1">
      <c r="A68" s="351">
        <v>79</v>
      </c>
      <c r="B68" s="351" t="str">
        <f>VLOOKUP(Tabla7[[#This Row],[No. Exp]],Tabla6[],2)</f>
        <v>Rogelio Catá Limonta</v>
      </c>
      <c r="C68" s="404">
        <f>(14.07+2.18)+2.18</f>
        <v>18.43</v>
      </c>
      <c r="D68" s="355">
        <f>3593.64+Tabla7[[#This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5029.8599999999997</v>
      </c>
      <c r="E68" s="353">
        <v>718.11</v>
      </c>
      <c r="F68" s="353"/>
      <c r="G68" s="353">
        <v>718.11</v>
      </c>
      <c r="H68" s="30"/>
      <c r="I68" s="32"/>
      <c r="J68" s="397"/>
      <c r="K68" s="397"/>
      <c r="L68" s="397"/>
      <c r="M68" s="397"/>
      <c r="N68" s="397"/>
    </row>
    <row r="69" spans="1:14" ht="52.75" customHeight="1">
      <c r="A69" s="351">
        <v>80</v>
      </c>
      <c r="B69" s="351" t="str">
        <f>VLOOKUP(Tabla7[[#This Row],[No. Exp]],Tabla6[],2)</f>
        <v xml:space="preserve">Datney Moreno Romero </v>
      </c>
      <c r="C69" s="404">
        <f>(24.43+2.18)+2.18</f>
        <v>28.79</v>
      </c>
      <c r="D69" s="355">
        <f>6100.19+Tabla7[[#This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7536.4099999999989</v>
      </c>
      <c r="E69" s="353">
        <v>718.11</v>
      </c>
      <c r="F69" s="353"/>
      <c r="G69" s="353">
        <v>718.11</v>
      </c>
      <c r="H69" s="30"/>
      <c r="I69" s="32"/>
      <c r="J69" s="397"/>
      <c r="K69" s="397"/>
      <c r="L69" s="397"/>
      <c r="M69" s="397"/>
      <c r="N69" s="397"/>
    </row>
    <row r="70" spans="1:14" ht="48" customHeight="1">
      <c r="A70" s="351">
        <v>81</v>
      </c>
      <c r="B70" s="351" t="str">
        <f>VLOOKUP(Tabla7[[#This Row],[No. Exp]],Tabla6[],2)</f>
        <v>Enrique Roque Barreras</v>
      </c>
      <c r="C70" s="404">
        <f>(14.07+2.18)+2.18</f>
        <v>18.43</v>
      </c>
      <c r="D70" s="355">
        <f>2471.02+Tabla7[[#This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3907.2400000000002</v>
      </c>
      <c r="E70" s="353">
        <v>718.11</v>
      </c>
      <c r="F70" s="353"/>
      <c r="G70" s="353">
        <v>718.11</v>
      </c>
      <c r="H70" s="30"/>
      <c r="I70" s="32"/>
      <c r="J70" s="397"/>
      <c r="K70" s="397"/>
      <c r="L70" s="397"/>
      <c r="M70" s="397"/>
      <c r="N70" s="397"/>
    </row>
    <row r="71" spans="1:14" s="362" customFormat="1" ht="45.9" customHeight="1">
      <c r="A71" s="356">
        <v>82</v>
      </c>
      <c r="B71" s="356" t="str">
        <f>VLOOKUP(Tabla7[[#This Row],[No. Exp]],Tabla6[],2)</f>
        <v>Geiler Vergara del Llano</v>
      </c>
      <c r="C71" s="357">
        <v>0</v>
      </c>
      <c r="D71" s="358">
        <f>5606.28+Tabla7[[#This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718.1099999999991</v>
      </c>
      <c r="E71" s="359">
        <v>718.11</v>
      </c>
      <c r="F71" s="359">
        <v>-6324.39</v>
      </c>
      <c r="G71" s="359">
        <v>718.11</v>
      </c>
      <c r="H71" s="360"/>
      <c r="I71" s="361"/>
      <c r="J71" s="398"/>
      <c r="K71" s="398"/>
      <c r="L71" s="398"/>
      <c r="M71" s="398"/>
      <c r="N71" s="398"/>
    </row>
    <row r="72" spans="1:14" ht="59.15" customHeight="1">
      <c r="A72" s="351">
        <v>83</v>
      </c>
      <c r="B72" s="351" t="str">
        <f>VLOOKUP(Tabla7[[#This Row],[No. Exp]],Tabla6[],2)</f>
        <v>José Manuel Azahares Tejeda</v>
      </c>
      <c r="C72" s="404">
        <f>(19.62+2.18)+2.18</f>
        <v>23.98</v>
      </c>
      <c r="D72" s="355">
        <f>4935.87+Tabla7[[#This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6372.0899999999992</v>
      </c>
      <c r="E72" s="353">
        <v>718.11</v>
      </c>
      <c r="F72" s="353"/>
      <c r="G72" s="353">
        <v>718.11</v>
      </c>
      <c r="H72" s="30"/>
      <c r="I72" s="32"/>
      <c r="J72" s="397"/>
      <c r="K72" s="397"/>
      <c r="L72" s="397"/>
      <c r="M72" s="397"/>
      <c r="N72" s="397"/>
    </row>
    <row r="73" spans="1:14" ht="57" customHeight="1">
      <c r="A73" s="351">
        <v>84</v>
      </c>
      <c r="B73" s="351" t="str">
        <f>VLOOKUP(Tabla7[[#This Row],[No. Exp]],Tabla6[],2)</f>
        <v xml:space="preserve"> Yensy Del Moral Domínguez</v>
      </c>
      <c r="C73" s="404">
        <f>(19.62+2.18)+2.18</f>
        <v>23.98</v>
      </c>
      <c r="D73" s="355">
        <f>4935.87+Tabla7[[#This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6372.0899999999992</v>
      </c>
      <c r="E73" s="353">
        <v>718.11</v>
      </c>
      <c r="F73" s="353"/>
      <c r="G73" s="353">
        <v>718.11</v>
      </c>
      <c r="H73" s="30"/>
      <c r="I73" s="32"/>
      <c r="J73" s="397"/>
      <c r="K73" s="397"/>
      <c r="L73" s="397"/>
      <c r="M73" s="397"/>
      <c r="N73" s="397"/>
    </row>
    <row r="74" spans="1:14" ht="59.15" customHeight="1">
      <c r="A74" s="351">
        <v>85</v>
      </c>
      <c r="B74" s="351" t="str">
        <f>VLOOKUP(Tabla7[[#This Row],[No. Exp]],Tabla6[],2)</f>
        <v>Alexis Cabrera Menéndez</v>
      </c>
      <c r="C74" s="404">
        <f>(15.51+2.18)+2.18</f>
        <v>19.87</v>
      </c>
      <c r="D74" s="355">
        <f>3564.82+Tabla7[[#This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4964.68</v>
      </c>
      <c r="E74" s="353">
        <v>699.93</v>
      </c>
      <c r="F74" s="353"/>
      <c r="G74" s="353">
        <v>699.93</v>
      </c>
      <c r="H74" s="30"/>
      <c r="I74" s="32"/>
      <c r="J74" s="397"/>
      <c r="K74" s="397"/>
      <c r="L74" s="397"/>
      <c r="M74" s="397"/>
      <c r="N74" s="397"/>
    </row>
    <row r="75" spans="1:14" ht="48" customHeight="1">
      <c r="A75" s="351">
        <v>86</v>
      </c>
      <c r="B75" s="351" t="str">
        <f>VLOOKUP(Tabla7[[#This Row],[No. Exp]],Tabla6[],2)</f>
        <v>Ariel Cabrera Menéndez</v>
      </c>
      <c r="C75" s="404">
        <f>(15.52+2.18)+2.18</f>
        <v>19.88</v>
      </c>
      <c r="D75" s="355">
        <f>3806.45+Tabla7[[#This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5206.3100000000004</v>
      </c>
      <c r="E75" s="353">
        <v>699.93</v>
      </c>
      <c r="F75" s="353"/>
      <c r="G75" s="353">
        <v>699.93</v>
      </c>
      <c r="H75" s="30"/>
      <c r="I75" s="32"/>
      <c r="J75" s="397"/>
      <c r="K75" s="397"/>
      <c r="L75" s="397"/>
      <c r="M75" s="397"/>
      <c r="N75" s="397"/>
    </row>
    <row r="76" spans="1:14" ht="52.75" customHeight="1">
      <c r="A76" s="351">
        <v>87</v>
      </c>
      <c r="B76" s="351" t="str">
        <f>VLOOKUP(Tabla7[[#This Row],[No. Exp]],Tabla6[],2)</f>
        <v>Osvaldo Yasmany Oro Santiesteban</v>
      </c>
      <c r="C76" s="404">
        <f>(17.44+2.187-7)+2.18</f>
        <v>14.807000000000002</v>
      </c>
      <c r="D76" s="355">
        <f>4518.58+Tabla7[[#This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3650.6299999999997</v>
      </c>
      <c r="E76" s="353">
        <v>718.11</v>
      </c>
      <c r="F76" s="353">
        <v>-2304.17</v>
      </c>
      <c r="G76" s="353">
        <v>718.11</v>
      </c>
      <c r="H76" s="30"/>
      <c r="I76" s="32"/>
      <c r="J76" s="397"/>
      <c r="K76" s="397"/>
      <c r="L76" s="397"/>
      <c r="M76" s="397"/>
      <c r="N76" s="397"/>
    </row>
    <row r="77" spans="1:14" ht="52.75" customHeight="1">
      <c r="A77" s="351">
        <v>88</v>
      </c>
      <c r="B77" s="351" t="str">
        <f>VLOOKUP(Tabla7[[#This Row],[No. Exp]],Tabla6[],2)</f>
        <v>Felix David Del Monte Balbuena</v>
      </c>
      <c r="C77" s="404">
        <f>(17.44+2.18)+2.18</f>
        <v>21.8</v>
      </c>
      <c r="D77" s="355">
        <f>4440.86+Tabla7[[#This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5877.079999999999</v>
      </c>
      <c r="E77" s="353">
        <v>718.11</v>
      </c>
      <c r="F77" s="353"/>
      <c r="G77" s="353">
        <v>718.11</v>
      </c>
      <c r="H77" s="30"/>
      <c r="I77" s="32"/>
      <c r="J77" s="397"/>
      <c r="K77" s="397"/>
      <c r="L77" s="397"/>
      <c r="M77" s="397"/>
      <c r="N77" s="397"/>
    </row>
    <row r="78" spans="1:14" s="362" customFormat="1" ht="48" customHeight="1">
      <c r="A78" s="356">
        <v>92</v>
      </c>
      <c r="B78" s="356" t="str">
        <f>VLOOKUP(Tabla7[[#This Row],[No. Exp]],Tabla6[],2)</f>
        <v>Iván Llanes Oliveros</v>
      </c>
      <c r="C78" s="364">
        <v>0</v>
      </c>
      <c r="D78" s="358">
        <v>0</v>
      </c>
      <c r="E78" s="358">
        <f ca="1">1263.51+Tabla7[[#This Row],[octubre]]</f>
        <v>1990.71</v>
      </c>
      <c r="F78" s="358"/>
      <c r="G78" s="359">
        <v>727.2</v>
      </c>
      <c r="H78" s="360"/>
      <c r="I78" s="361"/>
      <c r="J78" s="398"/>
      <c r="K78" s="398"/>
      <c r="L78" s="398"/>
      <c r="M78" s="398"/>
      <c r="N78" s="398"/>
    </row>
    <row r="79" spans="1:14" ht="54.9" customHeight="1">
      <c r="A79" s="351">
        <v>93</v>
      </c>
      <c r="B79" s="351" t="str">
        <f>VLOOKUP(Tabla7[[#This Row],[No. Exp]],Tabla6[],2)</f>
        <v>Zaily Cruz Sánchez</v>
      </c>
      <c r="C79" s="404">
        <f>(4.36+2.18)+2.18</f>
        <v>8.7200000000000006</v>
      </c>
      <c r="D79" s="355">
        <f>1263.51+Tabla7[[#This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2717.91</v>
      </c>
      <c r="E79" s="353">
        <v>727.2</v>
      </c>
      <c r="F79" s="353"/>
      <c r="G79" s="353">
        <v>727.2</v>
      </c>
      <c r="H79" s="30"/>
      <c r="I79" s="32"/>
      <c r="J79" s="397"/>
      <c r="K79" s="397"/>
      <c r="L79" s="397"/>
      <c r="M79" s="397"/>
      <c r="N79" s="397"/>
    </row>
    <row r="80" spans="1:14" ht="50.15" customHeight="1">
      <c r="A80" s="351">
        <v>94</v>
      </c>
      <c r="B80" s="351" t="str">
        <f>VLOOKUP(Tabla7[[#This Row],[No. Exp]],Tabla6[],2)</f>
        <v>Morganti Sollet Matos</v>
      </c>
      <c r="C80" s="404">
        <f>(4.36+2.18-6)+2.18</f>
        <v>2.7200000000000011</v>
      </c>
      <c r="D80" s="355">
        <f>1245.33+Tabla7[[#This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713.36999999999989</v>
      </c>
      <c r="E80" s="353">
        <v>709.02</v>
      </c>
      <c r="F80" s="353">
        <v>-1950</v>
      </c>
      <c r="G80" s="353">
        <v>709.02</v>
      </c>
      <c r="H80" s="30"/>
      <c r="I80" s="32"/>
      <c r="J80" s="397"/>
      <c r="K80" s="397"/>
      <c r="L80" s="397"/>
      <c r="M80" s="397"/>
      <c r="N80" s="397"/>
    </row>
    <row r="81" spans="1:14" ht="63.9" customHeight="1">
      <c r="A81" s="351">
        <v>95</v>
      </c>
      <c r="B81" s="351" t="str">
        <f>VLOOKUP(Tabla7[[#This Row],[No. Exp]],Tabla6[],2)</f>
        <v>Favio Alameda Cuevas</v>
      </c>
      <c r="C81" s="404">
        <f>(4.36+2.18)+2.18</f>
        <v>8.7200000000000006</v>
      </c>
      <c r="D81" s="355">
        <f>1245.33+Tabla7[[#This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2663.37</v>
      </c>
      <c r="E81" s="353">
        <v>709.02</v>
      </c>
      <c r="F81" s="353"/>
      <c r="G81" s="353">
        <v>709.02</v>
      </c>
      <c r="H81" s="30"/>
      <c r="I81" s="32"/>
      <c r="J81" s="397"/>
      <c r="K81" s="397"/>
      <c r="L81" s="397"/>
      <c r="M81" s="397"/>
      <c r="N81" s="397"/>
    </row>
    <row r="82" spans="1:14" ht="50.15" customHeight="1">
      <c r="A82" s="351">
        <v>96</v>
      </c>
      <c r="B82" s="351" t="str">
        <f>VLOOKUP(Tabla7[[#This Row],[No. Exp]],Tabla6[],2)</f>
        <v xml:space="preserve">Eriel Martínez Durán </v>
      </c>
      <c r="C82" s="404">
        <f>(4.36+2.18)+2.18</f>
        <v>8.7200000000000006</v>
      </c>
      <c r="D82" s="355">
        <f>1254.42+Tabla7[[#This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2690.6400000000003</v>
      </c>
      <c r="E82" s="353">
        <v>718.11</v>
      </c>
      <c r="F82" s="353"/>
      <c r="G82" s="353">
        <v>718.11</v>
      </c>
      <c r="H82" s="30"/>
      <c r="I82" s="32"/>
      <c r="J82" s="397"/>
      <c r="K82" s="397"/>
      <c r="L82" s="397"/>
      <c r="M82" s="397"/>
      <c r="N82" s="397"/>
    </row>
    <row r="83" spans="1:14" ht="52.75" customHeight="1">
      <c r="A83" s="351">
        <v>97</v>
      </c>
      <c r="B83" s="351" t="str">
        <f>VLOOKUP(Tabla7[[#This Row],[No. Exp]],Tabla6[],2)</f>
        <v xml:space="preserve">Linier Lazo Camero </v>
      </c>
      <c r="C83" s="404">
        <f>(6.18+2.18)+2.18</f>
        <v>10.54</v>
      </c>
      <c r="D83" s="355">
        <f>1692.27+Tabla7[[#This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3110.31</v>
      </c>
      <c r="E83" s="353">
        <v>709.02</v>
      </c>
      <c r="F83" s="353"/>
      <c r="G83" s="353">
        <v>709.02</v>
      </c>
      <c r="H83" s="30"/>
      <c r="I83" s="32"/>
      <c r="J83" s="397"/>
      <c r="K83" s="397"/>
      <c r="L83" s="397"/>
      <c r="M83" s="397"/>
      <c r="N83" s="397"/>
    </row>
    <row r="84" spans="1:14" ht="52.75" customHeight="1">
      <c r="A84" s="351">
        <v>99</v>
      </c>
      <c r="B84" s="351" t="str">
        <f>VLOOKUP(Tabla7[[#This Row],[No. Exp]],Tabla6[],2)</f>
        <v>Rachel Martell Salabarria</v>
      </c>
      <c r="C84" s="404">
        <f>(5.63+2.18)+2.18</f>
        <v>9.99</v>
      </c>
      <c r="D84" s="355">
        <f>1576.37+Tabla7[[#This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3030.7699999999995</v>
      </c>
      <c r="E84" s="353">
        <v>727.2</v>
      </c>
      <c r="F84" s="353"/>
      <c r="G84" s="353">
        <v>727.2</v>
      </c>
      <c r="H84" s="30"/>
      <c r="I84" s="32"/>
      <c r="J84" s="397"/>
      <c r="K84" s="397"/>
      <c r="L84" s="397"/>
      <c r="M84" s="397"/>
      <c r="N84" s="397"/>
    </row>
    <row r="85" spans="1:14" s="362" customFormat="1" ht="50.15" customHeight="1">
      <c r="A85" s="356">
        <v>101</v>
      </c>
      <c r="B85" s="356" t="str">
        <f>VLOOKUP(Tabla7[[#This Row],[No. Exp]],Tabla6[],2)</f>
        <v>Samuel Fernández Suárez</v>
      </c>
      <c r="C85" s="357">
        <v>0</v>
      </c>
      <c r="D85" s="358">
        <f>1088.9+Tabla7[[#This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0</v>
      </c>
      <c r="E85" s="359">
        <v>709.02</v>
      </c>
      <c r="F85" s="359">
        <v>-2506.94</v>
      </c>
      <c r="G85" s="359">
        <v>709.02</v>
      </c>
      <c r="H85" s="360"/>
      <c r="I85" s="361"/>
      <c r="J85" s="398"/>
      <c r="K85" s="398"/>
      <c r="L85" s="398"/>
      <c r="M85" s="398"/>
      <c r="N85" s="398"/>
    </row>
    <row r="86" spans="1:14" s="362" customFormat="1" ht="54.9" customHeight="1">
      <c r="A86" s="356">
        <v>102</v>
      </c>
      <c r="B86" s="356" t="str">
        <f>VLOOKUP(Tabla7[[#This Row],[No. Exp]],Tabla6[],2)</f>
        <v>Adrian Daniel Fernández Landivar</v>
      </c>
      <c r="C86" s="357">
        <v>0</v>
      </c>
      <c r="D86" s="358">
        <v>0</v>
      </c>
      <c r="E86" s="359">
        <v>727.2</v>
      </c>
      <c r="F86" s="359">
        <v>1990.71</v>
      </c>
      <c r="G86" s="359">
        <v>727.2</v>
      </c>
      <c r="H86" s="360"/>
      <c r="I86" s="361"/>
      <c r="J86" s="398"/>
      <c r="K86" s="398"/>
      <c r="L86" s="398"/>
      <c r="M86" s="398"/>
      <c r="N86" s="398"/>
    </row>
    <row r="87" spans="1:14" s="362" customFormat="1" ht="52.75" customHeight="1">
      <c r="A87" s="356">
        <v>103</v>
      </c>
      <c r="B87" s="356" t="str">
        <f>VLOOKUP(Tabla7[[#This Row],[No. Exp]],Tabla6[],2)</f>
        <v>Luis Ramón Díaz Alvarez</v>
      </c>
      <c r="C87" s="357">
        <v>0</v>
      </c>
      <c r="D87" s="358">
        <v>0</v>
      </c>
      <c r="E87" s="359">
        <v>727.2</v>
      </c>
      <c r="F87" s="359">
        <v>1834.28</v>
      </c>
      <c r="G87" s="359">
        <v>727.2</v>
      </c>
      <c r="H87" s="360"/>
      <c r="I87" s="361"/>
      <c r="J87" s="398"/>
      <c r="K87" s="398"/>
      <c r="L87" s="398"/>
      <c r="M87" s="398"/>
      <c r="N87" s="398"/>
    </row>
    <row r="88" spans="1:14" s="351" customFormat="1" ht="52.75" customHeight="1">
      <c r="A88" s="351">
        <v>104</v>
      </c>
      <c r="B88" s="351" t="str">
        <f>VLOOKUP(Tabla7[[#This Row],[No. Exp]],Tabla6[],2)</f>
        <v>María Félix Yanes González</v>
      </c>
      <c r="C88" s="404">
        <f>(2.18)+2.18</f>
        <v>4.3600000000000003</v>
      </c>
      <c r="D88" s="355">
        <f>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727.2</v>
      </c>
      <c r="E88" s="353">
        <v>727.2</v>
      </c>
      <c r="F88" s="353"/>
      <c r="G88" s="353"/>
      <c r="H88" s="353"/>
      <c r="I88" s="353"/>
      <c r="J88" s="397"/>
      <c r="K88" s="397"/>
      <c r="L88" s="397"/>
      <c r="M88" s="397"/>
      <c r="N88" s="397"/>
    </row>
    <row r="89" spans="1:14" s="362" customFormat="1" ht="61.75" customHeight="1">
      <c r="A89" s="356">
        <v>105</v>
      </c>
      <c r="B89" s="356" t="str">
        <f>VLOOKUP(Tabla7[[#This Row],[No. Exp]],Tabla6[],2)</f>
        <v xml:space="preserve">Maited Benitez Lugo </v>
      </c>
      <c r="C89" s="357">
        <v>0</v>
      </c>
      <c r="D89" s="358">
        <v>0</v>
      </c>
      <c r="E89" s="359">
        <v>818.1</v>
      </c>
      <c r="F89" s="359">
        <v>1636.2</v>
      </c>
      <c r="G89" s="359">
        <v>818.1</v>
      </c>
      <c r="H89" s="360"/>
      <c r="I89" s="361"/>
      <c r="J89" s="398"/>
      <c r="K89" s="398"/>
      <c r="L89" s="398"/>
      <c r="M89" s="398"/>
      <c r="N89" s="398"/>
    </row>
    <row r="90" spans="1:14" s="362" customFormat="1" ht="52.75" customHeight="1">
      <c r="A90" s="356">
        <v>106</v>
      </c>
      <c r="B90" s="356" t="str">
        <f>VLOOKUP(Tabla7[[#This Row],[No. Exp]],Tabla6[],2)</f>
        <v>Sujay Karina Prado Montero</v>
      </c>
      <c r="C90" s="357">
        <v>0</v>
      </c>
      <c r="D90" s="358">
        <v>0</v>
      </c>
      <c r="E90" s="359">
        <v>727.2</v>
      </c>
      <c r="F90" s="359">
        <v>1393.85</v>
      </c>
      <c r="G90" s="359">
        <v>727.2</v>
      </c>
      <c r="H90" s="360"/>
      <c r="I90" s="361"/>
      <c r="J90" s="398"/>
      <c r="K90" s="398"/>
      <c r="L90" s="398"/>
      <c r="M90" s="398"/>
      <c r="N90" s="398"/>
    </row>
    <row r="91" spans="1:14" s="362" customFormat="1" ht="52.3" customHeight="1">
      <c r="A91" s="356">
        <v>107</v>
      </c>
      <c r="B91" s="356" t="str">
        <f>VLOOKUP(Tabla7[[#This Row],[No. Exp]],Tabla6[],2)</f>
        <v>Lester Francisco Armas Dieguez</v>
      </c>
      <c r="C91" s="357">
        <v>0</v>
      </c>
      <c r="D91" s="358">
        <f>927.65+Tabla7[[#This Row],[octubre]]+Tabla7[[#This Row],[octubre2]]</f>
        <v>0</v>
      </c>
      <c r="E91" s="359">
        <v>718.11</v>
      </c>
      <c r="F91" s="359">
        <v>-1645.76</v>
      </c>
      <c r="G91" s="359">
        <v>718.11</v>
      </c>
      <c r="H91" s="360"/>
      <c r="I91" s="361"/>
      <c r="J91" s="398"/>
      <c r="K91" s="398"/>
      <c r="L91" s="398"/>
      <c r="M91" s="398"/>
      <c r="N91" s="398"/>
    </row>
    <row r="92" spans="1:14" ht="57" customHeight="1">
      <c r="A92" s="351">
        <v>108</v>
      </c>
      <c r="B92" s="351" t="str">
        <f>VLOOKUP(Tabla7[[#This Row],[No. Exp]],Tabla6[],2)</f>
        <v xml:space="preserve">Enmanuel Oscar Fonseca Heredia  </v>
      </c>
      <c r="C92" s="404">
        <f>(1.63+2.18)+2.18</f>
        <v>5.99</v>
      </c>
      <c r="D92" s="355">
        <f>531.83+Tabla7[[#This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1949.87</v>
      </c>
      <c r="E92" s="353">
        <v>709.02</v>
      </c>
      <c r="F92" s="353"/>
      <c r="G92" s="353">
        <v>709.02</v>
      </c>
      <c r="H92" s="30"/>
      <c r="I92" s="32"/>
      <c r="J92" s="397"/>
      <c r="K92" s="397"/>
      <c r="L92" s="397"/>
      <c r="M92" s="397"/>
      <c r="N92" s="397"/>
    </row>
    <row r="93" spans="1:14" ht="48" customHeight="1">
      <c r="A93" s="351">
        <v>109</v>
      </c>
      <c r="B93" s="351" t="str">
        <f>VLOOKUP(Tabla7[[#This Row],[No. Exp]],Tabla6[],2)</f>
        <v>Cristian David Pantaleón Averhoff</v>
      </c>
      <c r="C93" s="404">
        <f>(2.18+2.18)+2.18</f>
        <v>6.5400000000000009</v>
      </c>
      <c r="D93" s="355">
        <f>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1418.04</v>
      </c>
      <c r="E93" s="353">
        <v>709.02</v>
      </c>
      <c r="F93" s="353"/>
      <c r="G93" s="353">
        <v>709.02</v>
      </c>
      <c r="H93" s="30"/>
      <c r="I93" s="138"/>
      <c r="J93" s="397"/>
      <c r="K93" s="397"/>
      <c r="L93" s="397"/>
      <c r="M93" s="397"/>
      <c r="N93" s="397"/>
    </row>
    <row r="94" spans="1:14" ht="50.15" customHeight="1">
      <c r="A94" s="351">
        <v>111</v>
      </c>
      <c r="B94" s="351" t="str">
        <f>VLOOKUP(Tabla7[[#This Row],[No. Exp]],Tabla6[],2)</f>
        <v>Cristhian Camilo Cruz Napoles</v>
      </c>
      <c r="C94" s="404">
        <f>(3.9)+2.18</f>
        <v>6.08</v>
      </c>
      <c r="D94" s="355">
        <f>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1418.04</v>
      </c>
      <c r="E94" s="353">
        <v>709.02</v>
      </c>
      <c r="F94" s="353"/>
      <c r="G94" s="353">
        <v>709.02</v>
      </c>
      <c r="H94" s="30"/>
      <c r="I94" s="138"/>
      <c r="J94" s="397"/>
      <c r="K94" s="397"/>
      <c r="L94" s="397"/>
      <c r="M94" s="397"/>
      <c r="N94" s="397"/>
    </row>
    <row r="95" spans="1:14" ht="50.15" customHeight="1">
      <c r="A95" s="351">
        <v>112</v>
      </c>
      <c r="B95" s="351" t="str">
        <f>VLOOKUP(Tabla7[[#This Row],[No. Exp]],Tabla6[],2)</f>
        <v>Patricia Rodríguez Campa</v>
      </c>
      <c r="C95" s="404">
        <f>(2.18)+2.18</f>
        <v>4.3600000000000003</v>
      </c>
      <c r="D95" s="355">
        <f>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1454.4</v>
      </c>
      <c r="E95" s="353">
        <v>727.2</v>
      </c>
      <c r="F95" s="353"/>
      <c r="G95" s="353">
        <v>727.2</v>
      </c>
      <c r="H95" s="30"/>
      <c r="I95" s="138"/>
      <c r="J95" s="397"/>
      <c r="K95" s="397"/>
      <c r="L95" s="397"/>
      <c r="M95" s="397"/>
      <c r="N95" s="397"/>
    </row>
    <row r="96" spans="1:14" ht="68.150000000000006" customHeight="1">
      <c r="A96" s="351">
        <v>113</v>
      </c>
      <c r="B96" s="351" t="str">
        <f>VLOOKUP(Tabla7[[#This Row],[No. Exp]],Tabla6[],2)</f>
        <v>Nurbi Selma Osoria</v>
      </c>
      <c r="C96" s="404">
        <v>4.3600000000000003</v>
      </c>
      <c r="D96" s="355">
        <f>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1300.5</v>
      </c>
      <c r="E96" s="353">
        <v>681.75</v>
      </c>
      <c r="F96" s="353"/>
      <c r="G96" s="351">
        <v>618.75</v>
      </c>
      <c r="H96" s="29"/>
      <c r="I96" s="138"/>
      <c r="J96" s="397"/>
      <c r="K96" s="397"/>
      <c r="L96" s="397"/>
      <c r="M96" s="397"/>
      <c r="N96" s="397"/>
    </row>
    <row r="97" spans="1:14" ht="54.9" customHeight="1">
      <c r="A97" s="351">
        <v>117</v>
      </c>
      <c r="B97" s="351" t="str">
        <f>VLOOKUP(Tabla7[[#This Row],[No. Exp]],Tabla6[],2)</f>
        <v xml:space="preserve">Omar Soler Menéndez </v>
      </c>
      <c r="C97" s="404">
        <f>(1.9)+2.18</f>
        <v>4.08</v>
      </c>
      <c r="D97" s="355">
        <f>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1329.4099999999999</v>
      </c>
      <c r="E97" s="353">
        <v>620.39</v>
      </c>
      <c r="F97" s="353"/>
      <c r="G97" s="353">
        <v>709.02</v>
      </c>
      <c r="H97" s="30"/>
      <c r="I97" s="138"/>
      <c r="J97" s="397"/>
      <c r="K97" s="397"/>
      <c r="L97" s="397"/>
      <c r="M97" s="397"/>
      <c r="N97" s="397"/>
    </row>
    <row r="98" spans="1:14" ht="57" customHeight="1">
      <c r="A98" s="351">
        <v>118</v>
      </c>
      <c r="B98" s="351" t="str">
        <f>VLOOKUP(Tabla7[[#This Row],[No. Exp]],Tabla6[],2)</f>
        <v>Ivan Agustin Hernandez Gonzalez</v>
      </c>
      <c r="C98" s="404">
        <f>(3.18)+2.18</f>
        <v>5.36</v>
      </c>
      <c r="D98" s="355">
        <f>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1720.6599999999999</v>
      </c>
      <c r="E98" s="353">
        <v>1020.73</v>
      </c>
      <c r="F98" s="353"/>
      <c r="G98" s="351">
        <v>699.93</v>
      </c>
      <c r="H98" s="29"/>
      <c r="I98" s="138"/>
      <c r="J98" s="397"/>
      <c r="K98" s="397"/>
      <c r="L98" s="397"/>
      <c r="M98" s="397"/>
      <c r="N98" s="397"/>
    </row>
    <row r="99" spans="1:14" ht="50.15" customHeight="1">
      <c r="A99" s="351">
        <v>119</v>
      </c>
      <c r="B99" s="351" t="str">
        <f>VLOOKUP(Tabla7[[#This Row],[No. Exp]],Tabla6[],2)</f>
        <v>Laurin Susana Castillo Ramirez</v>
      </c>
      <c r="C99" s="404">
        <f>(2.1)+2.18</f>
        <v>4.28</v>
      </c>
      <c r="D99" s="355">
        <f>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1393.8000000000002</v>
      </c>
      <c r="E99" s="353">
        <v>666.6</v>
      </c>
      <c r="F99" s="353"/>
      <c r="G99" s="353">
        <v>727.2</v>
      </c>
      <c r="H99" s="30"/>
      <c r="I99" s="138"/>
      <c r="J99" s="397"/>
      <c r="K99" s="397"/>
      <c r="L99" s="397"/>
      <c r="M99" s="397"/>
      <c r="N99" s="397"/>
    </row>
    <row r="100" spans="1:14" ht="59.15" customHeight="1">
      <c r="A100" s="351">
        <v>120</v>
      </c>
      <c r="B100" s="351" t="str">
        <f>VLOOKUP(Tabla7[[#This Row],[No. Exp]],Tabla6[],2)</f>
        <v>Victor Damián Quesada Mojena</v>
      </c>
      <c r="C100" s="404">
        <f>(2.18)+2.18</f>
        <v>4.3600000000000003</v>
      </c>
      <c r="D100" s="355">
        <f>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1418.04</v>
      </c>
      <c r="E100" s="353">
        <v>709.02</v>
      </c>
      <c r="F100" s="353"/>
      <c r="G100" s="353">
        <v>709.02</v>
      </c>
      <c r="H100" s="30"/>
      <c r="I100" s="138"/>
      <c r="J100" s="397"/>
      <c r="K100" s="397"/>
      <c r="L100" s="397"/>
      <c r="M100" s="397"/>
      <c r="N100" s="397"/>
    </row>
    <row r="101" spans="1:14" ht="43.85" customHeight="1">
      <c r="A101" s="351">
        <v>122</v>
      </c>
      <c r="B101" s="351" t="str">
        <f>VLOOKUP(Tabla7[[#This Row],[No. Exp]],Tabla6[],2)</f>
        <v xml:space="preserve">Ivis Arcos Gutiérrez  </v>
      </c>
      <c r="C101" s="404">
        <v>4.9000000000000004</v>
      </c>
      <c r="D101" s="355">
        <f>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1636.2</v>
      </c>
      <c r="E101" s="353">
        <v>909</v>
      </c>
      <c r="F101" s="353"/>
      <c r="G101" s="353">
        <v>727.2</v>
      </c>
      <c r="H101" s="30"/>
      <c r="I101" s="138"/>
      <c r="J101" s="397"/>
      <c r="K101" s="397"/>
      <c r="L101" s="397"/>
      <c r="M101" s="397"/>
      <c r="N101" s="397"/>
    </row>
    <row r="102" spans="1:14" ht="45.9" customHeight="1">
      <c r="A102" s="351">
        <v>123</v>
      </c>
      <c r="B102" s="351" t="str">
        <f>VLOOKUP(Tabla7[[#This Row],[No. Exp]],Tabla6[],2)</f>
        <v>Erick De León Pedroso</v>
      </c>
      <c r="C102" s="404">
        <v>4.8100000000000005</v>
      </c>
      <c r="D102" s="355">
        <f>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1565.75</v>
      </c>
      <c r="E102" s="353">
        <v>856.73</v>
      </c>
      <c r="F102" s="353"/>
      <c r="G102" s="353">
        <v>709.02</v>
      </c>
      <c r="H102" s="30"/>
      <c r="I102" s="138"/>
      <c r="J102" s="397"/>
      <c r="K102" s="397"/>
      <c r="L102" s="397"/>
      <c r="M102" s="397"/>
      <c r="N102" s="397"/>
    </row>
    <row r="103" spans="1:14" ht="63.9" customHeight="1">
      <c r="A103" s="351">
        <v>125</v>
      </c>
      <c r="B103" s="351" t="str">
        <f>VLOOKUP(Tabla7[[#This Row],[No. Exp]],Tabla6[],2)</f>
        <v xml:space="preserve">Juan Ramón Alonso Benítez </v>
      </c>
      <c r="C103" s="404">
        <v>4.3600000000000003</v>
      </c>
      <c r="D103" s="355">
        <f>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1399.86</v>
      </c>
      <c r="E103" s="351">
        <v>699.93</v>
      </c>
      <c r="F103" s="351"/>
      <c r="G103" s="353">
        <v>699.93</v>
      </c>
      <c r="H103" s="29"/>
      <c r="I103" s="138"/>
      <c r="J103" s="397"/>
      <c r="K103" s="397"/>
      <c r="L103" s="397"/>
      <c r="M103" s="397"/>
      <c r="N103" s="397"/>
    </row>
    <row r="104" spans="1:14" s="385" customFormat="1" ht="55.3" customHeight="1">
      <c r="A104" s="385">
        <v>126</v>
      </c>
      <c r="B104" s="385" t="str">
        <f>VLOOKUP(Tabla7[[#This Row],[No. Exp]],Tabla6[],2)</f>
        <v>Alexey Olivera Gómez</v>
      </c>
      <c r="C104" s="386">
        <v>1.0900000000000001</v>
      </c>
      <c r="D104" s="402">
        <f>Tabla7[[#This Row],[octubre]]+Tabla7[[#This Row],[octubre2]]+Tabla7[[#This Row],[noviembre]]+Tabla7[[#This Row],[noviembre2]]++Tabla7[[#This Row],[diciembre]]+Tabla7[[#This Row],[diciembre2]]+Tabla7[[#This Row],[enero 2026]]+Tabla7[[#This Row],[enero 20262]]+Tabla7[[#This Row],[febrero 2026]]+Tabla7[[#This Row],[febrero2026]]</f>
        <v>358.78</v>
      </c>
      <c r="E104" s="403"/>
      <c r="G104" s="385">
        <v>358.78</v>
      </c>
      <c r="I104" s="387"/>
      <c r="J104" s="399"/>
      <c r="K104" s="399"/>
      <c r="L104" s="399"/>
      <c r="M104" s="399"/>
      <c r="N104" s="399"/>
    </row>
    <row r="105" spans="1:14" s="385" customFormat="1" ht="67.75" customHeight="1">
      <c r="A105" s="385">
        <v>127</v>
      </c>
      <c r="B105" s="385" t="str">
        <f>VLOOKUP(Tabla7[[#This Row],[No. Exp]],Tabla6[],2)</f>
        <v>Yosván Ávila Berbén</v>
      </c>
      <c r="C105" s="385">
        <v>2.54</v>
      </c>
      <c r="D105" s="387">
        <f>Tabla7[[#This Row],[noviembre]]+Tabla7[[#This Row],[noviembre2]]+Tabla7[[#This Row],[diciembre]]+Tabla7[[#This Row],[diciembre2]]+Tabla7[[#This Row],[enero 2026]]+Tabla7[[#This Row],[febrero 2026]]+Tabla7[[#This Row],[enero 20262]]+Tabla7[[#This Row],[febrero2026]]</f>
        <v>804.33</v>
      </c>
      <c r="G105" s="385">
        <v>804.33</v>
      </c>
      <c r="I105" s="387"/>
      <c r="J105" s="387"/>
      <c r="K105" s="387"/>
      <c r="L105" s="387"/>
      <c r="M105" s="387"/>
      <c r="N105" s="387"/>
    </row>
    <row r="106" spans="1:14" s="423" customFormat="1" ht="57.45" customHeight="1">
      <c r="A106" s="385">
        <v>128</v>
      </c>
      <c r="B106" s="385" t="str">
        <f>VLOOKUP(Tabla7[[#This Row],[No. Exp]],Tabla6[],2)</f>
        <v xml:space="preserve">Walfrido Calvo Alonso </v>
      </c>
      <c r="C106" s="385">
        <v>3.09</v>
      </c>
      <c r="D106" s="387">
        <f>Tabla7[[#This Row],[noviembre]]+Tabla7[[#This Row],[noviembre2]]+Tabla7[[#This Row],[diciembre]]+Tabla7[[#This Row],[diciembre2]]+Tabla7[[#This Row],[enero 2026]]+Tabla7[[#This Row],[enero 20262]]+Tabla7[[#This Row],[febrero 2026]]+Tabla7[[#This Row],[febrero2026]]</f>
        <v>1017.23</v>
      </c>
      <c r="E106" s="421"/>
      <c r="F106" s="421"/>
      <c r="G106" s="385">
        <v>1017.23</v>
      </c>
      <c r="H106" s="421"/>
      <c r="I106" s="422"/>
      <c r="J106" s="422"/>
      <c r="K106" s="422"/>
      <c r="L106" s="422"/>
      <c r="M106" s="422"/>
      <c r="N106" s="422"/>
    </row>
    <row r="107" spans="1:14">
      <c r="A107" s="351"/>
      <c r="B107" s="137"/>
      <c r="C107" s="137"/>
      <c r="D107" s="137"/>
      <c r="E107" s="31"/>
      <c r="F107" s="31"/>
      <c r="H107" s="29"/>
      <c r="I107" s="138"/>
      <c r="J107" s="397"/>
      <c r="K107" s="397"/>
      <c r="L107" s="397"/>
      <c r="M107" s="397"/>
      <c r="N107" s="397"/>
    </row>
    <row r="108" spans="1:14">
      <c r="A108" s="351"/>
      <c r="B108" s="137"/>
      <c r="C108" s="137"/>
      <c r="D108" s="137"/>
      <c r="E108" s="31"/>
      <c r="F108" s="31"/>
      <c r="H108" s="29"/>
      <c r="I108" s="138"/>
      <c r="J108" s="397"/>
      <c r="K108" s="397"/>
      <c r="L108" s="397"/>
      <c r="M108" s="397"/>
      <c r="N108" s="397"/>
    </row>
    <row r="109" spans="1:14">
      <c r="A109" s="137"/>
      <c r="B109" s="137"/>
      <c r="C109" s="137"/>
      <c r="D109" s="137"/>
      <c r="E109" s="31"/>
      <c r="F109" s="31"/>
      <c r="H109" s="29"/>
      <c r="I109" s="138"/>
      <c r="J109" s="397"/>
      <c r="K109" s="397"/>
      <c r="L109" s="397"/>
      <c r="M109" s="397"/>
      <c r="N109" s="397"/>
    </row>
    <row r="110" spans="1:14">
      <c r="A110" s="137"/>
      <c r="B110" s="137"/>
      <c r="C110" s="137"/>
      <c r="D110" s="137"/>
      <c r="E110" s="31"/>
      <c r="F110" s="31"/>
      <c r="H110" s="29"/>
      <c r="I110" s="138"/>
      <c r="J110" s="397"/>
      <c r="K110" s="397"/>
      <c r="L110" s="397"/>
      <c r="M110" s="397"/>
      <c r="N110" s="397"/>
    </row>
    <row r="111" spans="1:14">
      <c r="A111" s="31"/>
      <c r="B111" s="31"/>
      <c r="C111" s="31"/>
      <c r="D111" s="32"/>
      <c r="E111" s="31"/>
      <c r="F111" s="31"/>
      <c r="H111" s="31"/>
      <c r="I111" s="31"/>
      <c r="J111" s="31"/>
      <c r="K111" s="31"/>
      <c r="L111" s="31"/>
      <c r="M111" s="31"/>
      <c r="N111" s="31"/>
    </row>
  </sheetData>
  <mergeCells count="1">
    <mergeCell ref="A2:D2"/>
  </mergeCells>
  <phoneticPr fontId="34" type="noConversion"/>
  <pageMargins left="0.70866141732283472" right="0.70866141732283472" top="0.74803149606299213" bottom="0.74803149606299213" header="0.31496062992125984" footer="0.31496062992125984"/>
  <pageSetup scale="38" orientation="portrait" r:id="rId1"/>
  <rowBreaks count="3" manualBreakCount="3">
    <brk id="36" max="8" man="1"/>
    <brk id="69" max="8" man="1"/>
    <brk id="107" max="8" man="1"/>
  </rowBreak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8"/>
  <sheetViews>
    <sheetView showZeros="0" topLeftCell="A101" workbookViewId="0">
      <selection activeCell="A117" sqref="A117"/>
    </sheetView>
  </sheetViews>
  <sheetFormatPr baseColWidth="10" defaultColWidth="11" defaultRowHeight="14.6"/>
  <cols>
    <col min="1" max="1" width="9.15234375" customWidth="1"/>
    <col min="2" max="2" width="35.3046875" customWidth="1"/>
    <col min="3" max="3" width="24.69140625" customWidth="1"/>
    <col min="4" max="4" width="38.69140625" customWidth="1"/>
    <col min="5" max="5" width="17.3828125" customWidth="1"/>
  </cols>
  <sheetData>
    <row r="1" spans="1:5" ht="20.6">
      <c r="A1" s="475"/>
      <c r="B1" s="475"/>
      <c r="C1" s="475"/>
      <c r="D1" s="475"/>
      <c r="E1" s="475"/>
    </row>
    <row r="2" spans="1:5">
      <c r="A2" t="s">
        <v>28</v>
      </c>
      <c r="B2" t="s">
        <v>11</v>
      </c>
      <c r="C2" t="s">
        <v>12</v>
      </c>
      <c r="D2" t="s">
        <v>29</v>
      </c>
      <c r="E2" s="2" t="s">
        <v>26</v>
      </c>
    </row>
    <row r="3" spans="1:5">
      <c r="A3">
        <v>1</v>
      </c>
      <c r="B3" s="3" t="s">
        <v>27</v>
      </c>
      <c r="C3" s="4">
        <v>87032201867</v>
      </c>
      <c r="D3" s="5" t="s">
        <v>30</v>
      </c>
      <c r="E3" s="6">
        <v>46.875</v>
      </c>
    </row>
    <row r="4" spans="1:5">
      <c r="A4">
        <v>2</v>
      </c>
      <c r="B4" s="3" t="s">
        <v>31</v>
      </c>
      <c r="C4" s="4">
        <v>84100406736</v>
      </c>
      <c r="D4" s="5" t="s">
        <v>32</v>
      </c>
      <c r="E4" s="6">
        <v>46.875</v>
      </c>
    </row>
    <row r="5" spans="1:5">
      <c r="A5">
        <v>3</v>
      </c>
      <c r="B5" s="3" t="s">
        <v>33</v>
      </c>
      <c r="C5" s="4">
        <v>90081132492</v>
      </c>
      <c r="D5" s="5" t="s">
        <v>34</v>
      </c>
      <c r="E5" s="6">
        <v>46.875</v>
      </c>
    </row>
    <row r="6" spans="1:5">
      <c r="A6">
        <v>4</v>
      </c>
      <c r="B6" s="3" t="s">
        <v>35</v>
      </c>
      <c r="C6" s="4">
        <v>90022032253</v>
      </c>
      <c r="D6" s="5" t="s">
        <v>19</v>
      </c>
      <c r="E6" s="6">
        <v>46.875</v>
      </c>
    </row>
    <row r="7" spans="1:5">
      <c r="A7">
        <v>5</v>
      </c>
      <c r="B7" s="117" t="s">
        <v>100</v>
      </c>
      <c r="C7" s="4" t="s">
        <v>222</v>
      </c>
      <c r="D7" s="5" t="s">
        <v>101</v>
      </c>
      <c r="E7" s="6">
        <v>41.665999999999997</v>
      </c>
    </row>
    <row r="8" spans="1:5">
      <c r="A8">
        <v>6</v>
      </c>
      <c r="B8" s="3" t="s">
        <v>36</v>
      </c>
      <c r="C8" s="4" t="s">
        <v>37</v>
      </c>
      <c r="D8" s="5" t="s">
        <v>38</v>
      </c>
      <c r="E8" s="6">
        <v>46.875</v>
      </c>
    </row>
    <row r="9" spans="1:5">
      <c r="A9">
        <v>7</v>
      </c>
      <c r="B9" s="3" t="s">
        <v>39</v>
      </c>
      <c r="C9" s="4" t="s">
        <v>40</v>
      </c>
      <c r="D9" s="5" t="s">
        <v>41</v>
      </c>
      <c r="E9" s="6">
        <v>46.875</v>
      </c>
    </row>
    <row r="10" spans="1:5">
      <c r="A10">
        <v>8</v>
      </c>
      <c r="B10" s="3" t="s">
        <v>42</v>
      </c>
      <c r="C10" s="4">
        <v>63091617120</v>
      </c>
      <c r="D10" s="5" t="s">
        <v>43</v>
      </c>
      <c r="E10" s="6">
        <v>46.875</v>
      </c>
    </row>
    <row r="11" spans="1:5">
      <c r="A11">
        <v>9</v>
      </c>
      <c r="B11" s="3" t="s">
        <v>44</v>
      </c>
      <c r="C11" s="4" t="s">
        <v>45</v>
      </c>
      <c r="D11" s="5" t="s">
        <v>46</v>
      </c>
      <c r="E11" s="6">
        <v>40.625</v>
      </c>
    </row>
    <row r="12" spans="1:5" ht="16.5" customHeight="1">
      <c r="A12">
        <v>10</v>
      </c>
      <c r="B12" s="3" t="s">
        <v>47</v>
      </c>
      <c r="C12" s="4">
        <v>98090107024</v>
      </c>
      <c r="D12" s="5" t="s">
        <v>46</v>
      </c>
      <c r="E12" s="6">
        <v>40.625</v>
      </c>
    </row>
    <row r="13" spans="1:5" ht="17.25" customHeight="1">
      <c r="A13">
        <v>11</v>
      </c>
      <c r="B13" s="3" t="s">
        <v>48</v>
      </c>
      <c r="C13" s="4">
        <v>87121431060</v>
      </c>
      <c r="D13" s="5" t="s">
        <v>46</v>
      </c>
      <c r="E13" s="6">
        <v>40.625</v>
      </c>
    </row>
    <row r="14" spans="1:5">
      <c r="A14">
        <v>12</v>
      </c>
      <c r="B14" s="3" t="s">
        <v>49</v>
      </c>
      <c r="C14" s="4">
        <v>96042423224</v>
      </c>
      <c r="D14" s="5" t="s">
        <v>46</v>
      </c>
      <c r="E14" s="6">
        <v>40.625</v>
      </c>
    </row>
    <row r="15" spans="1:5">
      <c r="A15">
        <v>13</v>
      </c>
      <c r="B15" s="3" t="s">
        <v>50</v>
      </c>
      <c r="C15" s="4">
        <v>99061719940</v>
      </c>
      <c r="D15" s="5" t="s">
        <v>46</v>
      </c>
      <c r="E15" s="6">
        <v>40.625</v>
      </c>
    </row>
    <row r="16" spans="1:5">
      <c r="A16">
        <v>14</v>
      </c>
      <c r="B16" s="3" t="s">
        <v>51</v>
      </c>
      <c r="C16" s="4">
        <v>88062613221</v>
      </c>
      <c r="D16" s="5" t="s">
        <v>46</v>
      </c>
      <c r="E16" s="6">
        <v>40.625</v>
      </c>
    </row>
    <row r="17" spans="1:5">
      <c r="A17">
        <v>15</v>
      </c>
      <c r="B17" s="3" t="s">
        <v>52</v>
      </c>
      <c r="C17" s="4">
        <v>97012308566</v>
      </c>
      <c r="D17" s="5" t="s">
        <v>46</v>
      </c>
      <c r="E17" s="6">
        <v>40.625</v>
      </c>
    </row>
    <row r="18" spans="1:5">
      <c r="A18">
        <v>16</v>
      </c>
      <c r="B18" s="3" t="s">
        <v>53</v>
      </c>
      <c r="C18" s="4">
        <v>96091007562</v>
      </c>
      <c r="D18" s="5" t="s">
        <v>46</v>
      </c>
      <c r="E18" s="6">
        <v>40.625</v>
      </c>
    </row>
    <row r="19" spans="1:5">
      <c r="A19">
        <v>17</v>
      </c>
      <c r="B19" s="117" t="s">
        <v>54</v>
      </c>
      <c r="C19" s="4">
        <v>93050161098</v>
      </c>
      <c r="D19" s="5" t="s">
        <v>46</v>
      </c>
      <c r="E19" s="6">
        <v>40.625</v>
      </c>
    </row>
    <row r="20" spans="1:5">
      <c r="A20">
        <v>18</v>
      </c>
      <c r="B20" s="3" t="s">
        <v>55</v>
      </c>
      <c r="C20" s="4">
        <v>91122226789</v>
      </c>
      <c r="D20" s="5" t="s">
        <v>46</v>
      </c>
      <c r="E20" s="6">
        <v>40.625</v>
      </c>
    </row>
    <row r="21" spans="1:5">
      <c r="A21">
        <v>19</v>
      </c>
      <c r="B21" s="3" t="s">
        <v>56</v>
      </c>
      <c r="C21" s="4">
        <v>89123036741</v>
      </c>
      <c r="D21" s="5" t="s">
        <v>46</v>
      </c>
      <c r="E21" s="6">
        <v>40.625</v>
      </c>
    </row>
    <row r="22" spans="1:5">
      <c r="A22">
        <v>20</v>
      </c>
      <c r="B22" s="3" t="s">
        <v>57</v>
      </c>
      <c r="C22" s="4" t="s">
        <v>58</v>
      </c>
      <c r="D22" s="5" t="s">
        <v>46</v>
      </c>
      <c r="E22" s="6">
        <v>40.625</v>
      </c>
    </row>
    <row r="23" spans="1:5">
      <c r="A23">
        <v>21</v>
      </c>
      <c r="B23" s="3" t="s">
        <v>59</v>
      </c>
      <c r="C23" s="4" t="s">
        <v>60</v>
      </c>
      <c r="D23" s="5" t="s">
        <v>61</v>
      </c>
      <c r="E23" s="6">
        <v>40.103999999999999</v>
      </c>
    </row>
    <row r="24" spans="1:5">
      <c r="A24">
        <v>22</v>
      </c>
      <c r="B24" s="3" t="s">
        <v>62</v>
      </c>
      <c r="C24" s="7">
        <v>73111309364</v>
      </c>
      <c r="D24" s="5" t="s">
        <v>61</v>
      </c>
      <c r="E24" s="6">
        <v>40.103999999999999</v>
      </c>
    </row>
    <row r="25" spans="1:5">
      <c r="A25">
        <v>23</v>
      </c>
      <c r="B25" s="3" t="s">
        <v>63</v>
      </c>
      <c r="C25" s="7">
        <v>63082002294</v>
      </c>
      <c r="D25" s="5" t="s">
        <v>61</v>
      </c>
      <c r="E25" s="6">
        <v>40.103999999999999</v>
      </c>
    </row>
    <row r="26" spans="1:5">
      <c r="A26">
        <v>24</v>
      </c>
      <c r="B26" s="3" t="s">
        <v>64</v>
      </c>
      <c r="C26" s="8">
        <v>57082706245</v>
      </c>
      <c r="D26" s="5" t="s">
        <v>61</v>
      </c>
      <c r="E26" s="6">
        <v>40.103999999999999</v>
      </c>
    </row>
    <row r="27" spans="1:5">
      <c r="A27">
        <v>25</v>
      </c>
      <c r="B27" s="3" t="s">
        <v>65</v>
      </c>
      <c r="C27" s="4" t="s">
        <v>66</v>
      </c>
      <c r="D27" s="5" t="s">
        <v>46</v>
      </c>
      <c r="E27" s="6">
        <v>40.625</v>
      </c>
    </row>
    <row r="28" spans="1:5">
      <c r="A28">
        <v>26</v>
      </c>
      <c r="B28" s="3" t="s">
        <v>67</v>
      </c>
      <c r="C28" s="4">
        <v>97121108267</v>
      </c>
      <c r="D28" s="5" t="s">
        <v>46</v>
      </c>
      <c r="E28" s="6">
        <v>40.625</v>
      </c>
    </row>
    <row r="29" spans="1:5">
      <c r="A29">
        <v>27</v>
      </c>
      <c r="B29" s="3" t="s">
        <v>68</v>
      </c>
      <c r="C29" s="4" t="s">
        <v>69</v>
      </c>
      <c r="D29" s="5" t="s">
        <v>46</v>
      </c>
      <c r="E29" s="6">
        <v>40.625</v>
      </c>
    </row>
    <row r="30" spans="1:5">
      <c r="A30">
        <v>28</v>
      </c>
      <c r="B30" s="3" t="s">
        <v>70</v>
      </c>
      <c r="C30" s="4" t="s">
        <v>71</v>
      </c>
      <c r="D30" s="5" t="s">
        <v>46</v>
      </c>
      <c r="E30" s="6">
        <v>40.625</v>
      </c>
    </row>
    <row r="31" spans="1:5">
      <c r="A31">
        <v>29</v>
      </c>
      <c r="B31" s="3" t="s">
        <v>72</v>
      </c>
      <c r="C31" s="4" t="s">
        <v>73</v>
      </c>
      <c r="D31" s="5" t="s">
        <v>46</v>
      </c>
      <c r="E31" s="6">
        <v>40.625</v>
      </c>
    </row>
    <row r="32" spans="1:5">
      <c r="A32">
        <v>30</v>
      </c>
      <c r="B32" s="3" t="s">
        <v>74</v>
      </c>
      <c r="C32" s="4">
        <v>83120324816</v>
      </c>
      <c r="D32" s="3" t="s">
        <v>19</v>
      </c>
      <c r="E32" s="6">
        <v>41.665999999999997</v>
      </c>
    </row>
    <row r="33" spans="1:16">
      <c r="A33">
        <v>31</v>
      </c>
      <c r="B33" s="3" t="s">
        <v>75</v>
      </c>
      <c r="C33" s="4">
        <v>84082204876</v>
      </c>
      <c r="D33" s="5" t="s">
        <v>19</v>
      </c>
      <c r="E33" s="6">
        <v>41.665999999999997</v>
      </c>
    </row>
    <row r="34" spans="1:16">
      <c r="A34" s="2">
        <v>32</v>
      </c>
      <c r="B34" s="3" t="s">
        <v>76</v>
      </c>
      <c r="C34" s="4" t="s">
        <v>77</v>
      </c>
      <c r="D34" s="5" t="s">
        <v>19</v>
      </c>
      <c r="E34" s="6">
        <v>41.665999999999997</v>
      </c>
    </row>
    <row r="35" spans="1:16">
      <c r="A35" s="2">
        <v>33</v>
      </c>
      <c r="B35" s="9" t="s">
        <v>78</v>
      </c>
      <c r="C35" s="10" t="s">
        <v>79</v>
      </c>
      <c r="D35" s="11" t="s">
        <v>19</v>
      </c>
      <c r="E35" s="6">
        <v>41.665999999999997</v>
      </c>
    </row>
    <row r="36" spans="1:16">
      <c r="A36">
        <v>34</v>
      </c>
      <c r="B36" s="3" t="s">
        <v>80</v>
      </c>
      <c r="C36" s="4" t="s">
        <v>81</v>
      </c>
      <c r="D36" s="3" t="s">
        <v>19</v>
      </c>
      <c r="E36" s="6">
        <v>41.665999999999997</v>
      </c>
    </row>
    <row r="37" spans="1:16">
      <c r="A37">
        <v>35</v>
      </c>
      <c r="B37" s="3" t="s">
        <v>82</v>
      </c>
      <c r="C37" s="4"/>
      <c r="D37" s="3" t="s">
        <v>19</v>
      </c>
      <c r="E37" s="6">
        <v>41.665999999999997</v>
      </c>
    </row>
    <row r="38" spans="1:16">
      <c r="A38" s="2">
        <v>36</v>
      </c>
      <c r="B38" s="2" t="s">
        <v>83</v>
      </c>
      <c r="C38" s="4">
        <v>76120900718</v>
      </c>
      <c r="D38" s="3" t="s">
        <v>19</v>
      </c>
      <c r="E38" s="6">
        <v>41.665999999999997</v>
      </c>
    </row>
    <row r="39" spans="1:16" s="362" customFormat="1">
      <c r="A39" s="362">
        <v>37</v>
      </c>
      <c r="B39" s="379" t="s">
        <v>84</v>
      </c>
      <c r="C39" s="380">
        <v>98032015962</v>
      </c>
      <c r="D39" s="381" t="s">
        <v>19</v>
      </c>
      <c r="E39" s="376">
        <v>41.665999999999997</v>
      </c>
    </row>
    <row r="40" spans="1:16" s="362" customFormat="1">
      <c r="A40" s="362">
        <v>38</v>
      </c>
      <c r="B40" s="382" t="s">
        <v>85</v>
      </c>
      <c r="C40" s="383" t="s">
        <v>86</v>
      </c>
      <c r="D40" s="384" t="s">
        <v>19</v>
      </c>
      <c r="E40" s="376">
        <v>41.665999999999997</v>
      </c>
    </row>
    <row r="41" spans="1:16">
      <c r="A41" s="2">
        <v>39</v>
      </c>
      <c r="B41" s="12" t="s">
        <v>87</v>
      </c>
      <c r="C41" s="13">
        <v>95111328273</v>
      </c>
      <c r="D41" s="14" t="s">
        <v>19</v>
      </c>
      <c r="E41" s="6">
        <v>41.665999999999997</v>
      </c>
    </row>
    <row r="42" spans="1:16">
      <c r="A42">
        <v>40</v>
      </c>
      <c r="B42" s="3" t="s">
        <v>88</v>
      </c>
      <c r="C42" s="4" t="s">
        <v>89</v>
      </c>
      <c r="D42" s="5" t="s">
        <v>19</v>
      </c>
      <c r="E42" s="6">
        <v>41.665999999999997</v>
      </c>
    </row>
    <row r="43" spans="1:16" s="362" customFormat="1">
      <c r="A43" s="362">
        <v>41</v>
      </c>
      <c r="B43" s="382" t="s">
        <v>90</v>
      </c>
      <c r="C43" s="383" t="s">
        <v>91</v>
      </c>
      <c r="D43" s="384" t="s">
        <v>19</v>
      </c>
      <c r="E43" s="376">
        <v>41.665999999999997</v>
      </c>
    </row>
    <row r="44" spans="1:16" s="1" customFormat="1">
      <c r="A44">
        <v>42</v>
      </c>
      <c r="B44" s="12" t="s">
        <v>92</v>
      </c>
      <c r="C44" s="13" t="s">
        <v>93</v>
      </c>
      <c r="D44" s="14" t="s">
        <v>19</v>
      </c>
      <c r="E44" s="6">
        <v>41.665999999999997</v>
      </c>
      <c r="F44"/>
      <c r="G44"/>
      <c r="H44"/>
      <c r="I44"/>
      <c r="J44"/>
      <c r="K44"/>
      <c r="L44"/>
      <c r="M44"/>
      <c r="N44"/>
      <c r="O44"/>
      <c r="P44"/>
    </row>
    <row r="45" spans="1:16" s="1" customFormat="1">
      <c r="A45" s="15">
        <v>45</v>
      </c>
      <c r="B45" s="16" t="s">
        <v>94</v>
      </c>
      <c r="C45" s="7">
        <v>91063028173</v>
      </c>
      <c r="D45" s="14" t="s">
        <v>19</v>
      </c>
      <c r="E45" s="6">
        <v>41.665999999999997</v>
      </c>
      <c r="F45"/>
      <c r="G45"/>
      <c r="H45"/>
      <c r="I45"/>
      <c r="J45"/>
      <c r="K45"/>
      <c r="L45"/>
      <c r="M45"/>
      <c r="N45"/>
      <c r="O45"/>
      <c r="P45"/>
    </row>
    <row r="46" spans="1:16">
      <c r="A46">
        <v>47</v>
      </c>
      <c r="B46" s="16" t="s">
        <v>95</v>
      </c>
      <c r="C46" s="8">
        <v>94111928919</v>
      </c>
      <c r="D46" s="14" t="s">
        <v>19</v>
      </c>
      <c r="E46" s="6">
        <v>41.665999999999997</v>
      </c>
    </row>
    <row r="47" spans="1:16">
      <c r="A47">
        <v>48</v>
      </c>
      <c r="B47" s="3" t="s">
        <v>96</v>
      </c>
      <c r="C47" s="4" t="s">
        <v>97</v>
      </c>
      <c r="D47" s="5" t="s">
        <v>19</v>
      </c>
      <c r="E47" s="6">
        <v>41.665999999999997</v>
      </c>
    </row>
    <row r="48" spans="1:16">
      <c r="A48">
        <v>49</v>
      </c>
      <c r="B48" s="3" t="s">
        <v>98</v>
      </c>
      <c r="C48" s="4" t="s">
        <v>99</v>
      </c>
      <c r="D48" s="5" t="s">
        <v>19</v>
      </c>
      <c r="E48" s="6">
        <v>41.665999999999997</v>
      </c>
    </row>
    <row r="49" spans="1:5">
      <c r="A49">
        <v>50</v>
      </c>
      <c r="B49" s="3" t="s">
        <v>100</v>
      </c>
      <c r="C49" s="4">
        <v>89092321528</v>
      </c>
      <c r="D49" s="5" t="s">
        <v>101</v>
      </c>
      <c r="E49" s="6">
        <v>30.73</v>
      </c>
    </row>
    <row r="50" spans="1:5">
      <c r="A50">
        <v>51</v>
      </c>
      <c r="B50" s="3" t="s">
        <v>102</v>
      </c>
      <c r="C50" s="4" t="s">
        <v>103</v>
      </c>
      <c r="D50" s="5" t="s">
        <v>104</v>
      </c>
      <c r="E50" s="6">
        <v>41.665999999999997</v>
      </c>
    </row>
    <row r="51" spans="1:5">
      <c r="A51">
        <v>52</v>
      </c>
      <c r="B51" s="3" t="s">
        <v>105</v>
      </c>
      <c r="C51" s="4" t="s">
        <v>106</v>
      </c>
      <c r="D51" s="5" t="s">
        <v>104</v>
      </c>
      <c r="E51" s="6">
        <v>41.665999999999997</v>
      </c>
    </row>
    <row r="52" spans="1:5">
      <c r="A52">
        <v>53</v>
      </c>
      <c r="B52" s="3" t="s">
        <v>107</v>
      </c>
      <c r="C52" s="4">
        <v>92102527724</v>
      </c>
      <c r="D52" s="5" t="s">
        <v>108</v>
      </c>
      <c r="E52" s="6">
        <v>41.665999999999997</v>
      </c>
    </row>
    <row r="53" spans="1:5">
      <c r="A53">
        <v>54</v>
      </c>
      <c r="B53" s="3" t="s">
        <v>109</v>
      </c>
      <c r="C53" s="4" t="s">
        <v>110</v>
      </c>
      <c r="D53" s="5" t="s">
        <v>108</v>
      </c>
      <c r="E53" s="6">
        <v>41.665999999999997</v>
      </c>
    </row>
    <row r="54" spans="1:5">
      <c r="A54">
        <v>55</v>
      </c>
      <c r="B54" s="3" t="s">
        <v>111</v>
      </c>
      <c r="C54" s="4" t="s">
        <v>112</v>
      </c>
      <c r="D54" s="5" t="s">
        <v>108</v>
      </c>
      <c r="E54" s="6">
        <v>41.665999999999997</v>
      </c>
    </row>
    <row r="55" spans="1:5">
      <c r="A55">
        <v>56</v>
      </c>
      <c r="B55" s="3" t="s">
        <v>113</v>
      </c>
      <c r="C55" s="4">
        <v>85090214737</v>
      </c>
      <c r="D55" s="5" t="s">
        <v>114</v>
      </c>
      <c r="E55" s="6">
        <v>44.27</v>
      </c>
    </row>
    <row r="56" spans="1:5">
      <c r="A56">
        <v>57</v>
      </c>
      <c r="B56" s="3" t="s">
        <v>115</v>
      </c>
      <c r="C56" s="4">
        <v>67032021083</v>
      </c>
      <c r="D56" s="5" t="s">
        <v>101</v>
      </c>
      <c r="E56" s="6">
        <v>41.665999999999997</v>
      </c>
    </row>
    <row r="57" spans="1:5">
      <c r="A57">
        <v>58</v>
      </c>
      <c r="B57" s="17" t="s">
        <v>116</v>
      </c>
      <c r="C57" s="4" t="s">
        <v>117</v>
      </c>
      <c r="D57" s="5" t="s">
        <v>118</v>
      </c>
      <c r="E57" s="6">
        <v>41.665999999999997</v>
      </c>
    </row>
    <row r="58" spans="1:5">
      <c r="A58">
        <v>59</v>
      </c>
      <c r="B58" s="17" t="s">
        <v>119</v>
      </c>
      <c r="C58" s="4" t="s">
        <v>120</v>
      </c>
      <c r="D58" s="3" t="s">
        <v>118</v>
      </c>
      <c r="E58" s="6">
        <v>41.665999999999997</v>
      </c>
    </row>
    <row r="59" spans="1:5">
      <c r="A59">
        <v>60</v>
      </c>
      <c r="B59" s="17" t="s">
        <v>121</v>
      </c>
      <c r="C59" s="18" t="s">
        <v>122</v>
      </c>
      <c r="D59" s="19" t="s">
        <v>118</v>
      </c>
      <c r="E59" s="6">
        <v>41.665999999999997</v>
      </c>
    </row>
    <row r="60" spans="1:5">
      <c r="A60">
        <v>61</v>
      </c>
      <c r="B60" s="20" t="s">
        <v>123</v>
      </c>
      <c r="C60" s="4" t="s">
        <v>124</v>
      </c>
      <c r="D60" s="19" t="s">
        <v>118</v>
      </c>
      <c r="E60" s="6">
        <v>41.665999999999997</v>
      </c>
    </row>
    <row r="61" spans="1:5" ht="15" customHeight="1">
      <c r="A61">
        <v>62</v>
      </c>
      <c r="B61" s="20" t="s">
        <v>125</v>
      </c>
      <c r="C61" s="4" t="s">
        <v>126</v>
      </c>
      <c r="D61" s="19" t="s">
        <v>118</v>
      </c>
      <c r="E61" s="6">
        <v>41.665999999999997</v>
      </c>
    </row>
    <row r="62" spans="1:5" ht="17.25" customHeight="1">
      <c r="A62">
        <v>63</v>
      </c>
      <c r="B62" s="3" t="s">
        <v>127</v>
      </c>
      <c r="C62" s="4">
        <v>95061537180</v>
      </c>
      <c r="D62" s="21" t="s">
        <v>128</v>
      </c>
      <c r="E62" s="6">
        <v>40.625</v>
      </c>
    </row>
    <row r="63" spans="1:5">
      <c r="A63">
        <v>64</v>
      </c>
      <c r="B63" s="17" t="s">
        <v>129</v>
      </c>
      <c r="C63" s="18">
        <v>85041414746</v>
      </c>
      <c r="D63" s="21" t="s">
        <v>128</v>
      </c>
      <c r="E63" s="6">
        <v>40.625</v>
      </c>
    </row>
    <row r="64" spans="1:5">
      <c r="A64">
        <v>65</v>
      </c>
      <c r="B64" s="17" t="s">
        <v>130</v>
      </c>
      <c r="C64" s="4">
        <v>90083036529</v>
      </c>
      <c r="D64" s="21" t="s">
        <v>128</v>
      </c>
      <c r="E64" s="6">
        <v>40.625</v>
      </c>
    </row>
    <row r="65" spans="1:5">
      <c r="A65">
        <v>66</v>
      </c>
      <c r="B65" s="17" t="s">
        <v>131</v>
      </c>
      <c r="C65" s="4">
        <v>96070314742</v>
      </c>
      <c r="D65" s="22" t="s">
        <v>128</v>
      </c>
      <c r="E65" s="6">
        <v>40.625</v>
      </c>
    </row>
    <row r="66" spans="1:5">
      <c r="A66">
        <v>67</v>
      </c>
      <c r="B66" s="17" t="s">
        <v>132</v>
      </c>
      <c r="C66" s="18">
        <v>84021714745</v>
      </c>
      <c r="D66" s="21" t="s">
        <v>128</v>
      </c>
      <c r="E66" s="6">
        <v>40.625</v>
      </c>
    </row>
    <row r="67" spans="1:5">
      <c r="A67">
        <v>68</v>
      </c>
      <c r="B67" s="20" t="s">
        <v>133</v>
      </c>
      <c r="C67" s="4" t="s">
        <v>134</v>
      </c>
      <c r="D67" s="21" t="s">
        <v>128</v>
      </c>
      <c r="E67" s="6">
        <v>40.625</v>
      </c>
    </row>
    <row r="68" spans="1:5">
      <c r="A68">
        <v>69</v>
      </c>
      <c r="B68" s="20" t="s">
        <v>135</v>
      </c>
      <c r="C68" s="4" t="s">
        <v>136</v>
      </c>
      <c r="D68" s="21" t="s">
        <v>128</v>
      </c>
      <c r="E68" s="6">
        <v>40.625</v>
      </c>
    </row>
    <row r="69" spans="1:5" ht="20.25" customHeight="1">
      <c r="A69">
        <v>70</v>
      </c>
      <c r="B69" s="20" t="s">
        <v>137</v>
      </c>
      <c r="C69" s="4" t="s">
        <v>138</v>
      </c>
      <c r="D69" s="21" t="s">
        <v>128</v>
      </c>
      <c r="E69" s="6">
        <v>40.625</v>
      </c>
    </row>
    <row r="70" spans="1:5">
      <c r="A70">
        <v>71</v>
      </c>
      <c r="B70" s="17" t="s">
        <v>139</v>
      </c>
      <c r="C70" s="23" t="s">
        <v>140</v>
      </c>
      <c r="D70" s="19" t="s">
        <v>141</v>
      </c>
      <c r="E70" s="6">
        <v>39.06</v>
      </c>
    </row>
    <row r="71" spans="1:5">
      <c r="A71">
        <v>73</v>
      </c>
      <c r="B71" s="2" t="s">
        <v>142</v>
      </c>
      <c r="C71" s="24">
        <v>91061428505</v>
      </c>
      <c r="D71" s="25" t="s">
        <v>143</v>
      </c>
      <c r="E71" s="6">
        <v>40.103999999999999</v>
      </c>
    </row>
    <row r="72" spans="1:5" ht="19.5" customHeight="1">
      <c r="A72">
        <v>74</v>
      </c>
      <c r="B72" s="3" t="s">
        <v>144</v>
      </c>
      <c r="C72" s="4" t="s">
        <v>145</v>
      </c>
      <c r="D72" s="5" t="s">
        <v>146</v>
      </c>
      <c r="E72" s="6">
        <v>41.145000000000003</v>
      </c>
    </row>
    <row r="73" spans="1:5">
      <c r="A73">
        <v>75</v>
      </c>
      <c r="B73" s="3" t="s">
        <v>147</v>
      </c>
      <c r="C73" s="4">
        <v>73041735285</v>
      </c>
      <c r="D73" s="5" t="s">
        <v>146</v>
      </c>
      <c r="E73" s="6">
        <v>41.145000000000003</v>
      </c>
    </row>
    <row r="74" spans="1:5" s="362" customFormat="1">
      <c r="A74" s="362">
        <v>76</v>
      </c>
      <c r="B74" s="379" t="s">
        <v>148</v>
      </c>
      <c r="C74" s="380">
        <v>79080814208</v>
      </c>
      <c r="D74" s="381" t="s">
        <v>146</v>
      </c>
      <c r="E74" s="376">
        <v>41.145000000000003</v>
      </c>
    </row>
    <row r="75" spans="1:5" s="362" customFormat="1" ht="18" customHeight="1">
      <c r="A75" s="362">
        <v>77</v>
      </c>
      <c r="B75" s="379" t="s">
        <v>149</v>
      </c>
      <c r="C75" s="380">
        <v>92080705868</v>
      </c>
      <c r="D75" s="381" t="s">
        <v>146</v>
      </c>
      <c r="E75" s="376">
        <v>41.145000000000003</v>
      </c>
    </row>
    <row r="76" spans="1:5">
      <c r="A76">
        <v>78</v>
      </c>
      <c r="B76" s="3" t="s">
        <v>150</v>
      </c>
      <c r="C76" s="4">
        <v>89021020183</v>
      </c>
      <c r="D76" s="5" t="s">
        <v>146</v>
      </c>
      <c r="E76" s="6">
        <v>41.145000000000003</v>
      </c>
    </row>
    <row r="77" spans="1:5">
      <c r="A77">
        <v>79</v>
      </c>
      <c r="B77" s="3" t="s">
        <v>151</v>
      </c>
      <c r="C77" s="4">
        <v>59021430287</v>
      </c>
      <c r="D77" s="5" t="s">
        <v>146</v>
      </c>
      <c r="E77" s="6">
        <v>41.145000000000003</v>
      </c>
    </row>
    <row r="78" spans="1:5">
      <c r="A78">
        <v>80</v>
      </c>
      <c r="B78" s="3" t="s">
        <v>152</v>
      </c>
      <c r="C78" s="4" t="s">
        <v>153</v>
      </c>
      <c r="D78" s="5" t="s">
        <v>146</v>
      </c>
      <c r="E78" s="6">
        <v>41.145000000000003</v>
      </c>
    </row>
    <row r="79" spans="1:5">
      <c r="A79">
        <v>81</v>
      </c>
      <c r="B79" s="3" t="s">
        <v>154</v>
      </c>
      <c r="C79" s="4">
        <v>62071512741</v>
      </c>
      <c r="D79" s="5" t="s">
        <v>146</v>
      </c>
      <c r="E79" s="6">
        <v>41.145000000000003</v>
      </c>
    </row>
    <row r="80" spans="1:5" s="362" customFormat="1">
      <c r="A80" s="362">
        <v>82</v>
      </c>
      <c r="B80" s="379" t="s">
        <v>155</v>
      </c>
      <c r="C80" s="380">
        <v>85052425849</v>
      </c>
      <c r="D80" s="381" t="s">
        <v>146</v>
      </c>
      <c r="E80" s="376">
        <v>41.145000000000003</v>
      </c>
    </row>
    <row r="81" spans="1:5">
      <c r="A81">
        <v>83</v>
      </c>
      <c r="B81" s="3" t="s">
        <v>156</v>
      </c>
      <c r="C81" s="4" t="s">
        <v>157</v>
      </c>
      <c r="D81" s="5" t="s">
        <v>146</v>
      </c>
      <c r="E81" s="6">
        <v>41.145000000000003</v>
      </c>
    </row>
    <row r="82" spans="1:5">
      <c r="A82">
        <v>84</v>
      </c>
      <c r="B82" s="3" t="s">
        <v>158</v>
      </c>
      <c r="C82" s="4" t="s">
        <v>159</v>
      </c>
      <c r="D82" s="5" t="s">
        <v>146</v>
      </c>
      <c r="E82" s="6">
        <v>41.145000000000003</v>
      </c>
    </row>
    <row r="83" spans="1:5">
      <c r="A83">
        <v>85</v>
      </c>
      <c r="B83" s="3" t="s">
        <v>160</v>
      </c>
      <c r="C83" s="4">
        <v>74032322600</v>
      </c>
      <c r="D83" s="5" t="s">
        <v>61</v>
      </c>
      <c r="E83" s="6">
        <v>40.103999999999999</v>
      </c>
    </row>
    <row r="84" spans="1:5">
      <c r="A84">
        <v>86</v>
      </c>
      <c r="B84" s="17" t="s">
        <v>161</v>
      </c>
      <c r="C84" s="18">
        <v>72112711303</v>
      </c>
      <c r="D84" s="5" t="s">
        <v>61</v>
      </c>
      <c r="E84" s="6">
        <v>40.103999999999999</v>
      </c>
    </row>
    <row r="85" spans="1:5">
      <c r="A85">
        <v>87</v>
      </c>
      <c r="B85" s="3" t="s">
        <v>162</v>
      </c>
      <c r="C85" s="4" t="s">
        <v>163</v>
      </c>
      <c r="D85" s="5" t="s">
        <v>146</v>
      </c>
      <c r="E85" s="6">
        <v>41.145000000000003</v>
      </c>
    </row>
    <row r="86" spans="1:5">
      <c r="A86">
        <v>88</v>
      </c>
      <c r="B86" s="3" t="s">
        <v>164</v>
      </c>
      <c r="C86" s="4" t="s">
        <v>165</v>
      </c>
      <c r="D86" s="5" t="s">
        <v>146</v>
      </c>
      <c r="E86" s="6">
        <v>41.145000000000003</v>
      </c>
    </row>
    <row r="87" spans="1:5" s="362" customFormat="1">
      <c r="A87" s="362">
        <v>89</v>
      </c>
      <c r="B87" s="379" t="s">
        <v>166</v>
      </c>
      <c r="C87" s="380">
        <v>80032124193</v>
      </c>
      <c r="D87" s="381" t="s">
        <v>167</v>
      </c>
      <c r="E87" s="376">
        <v>39.06</v>
      </c>
    </row>
    <row r="88" spans="1:5" s="362" customFormat="1">
      <c r="A88" s="362">
        <v>92</v>
      </c>
      <c r="B88" s="371" t="s">
        <v>168</v>
      </c>
      <c r="C88" s="375">
        <v>90013026740</v>
      </c>
      <c r="D88" s="371" t="s">
        <v>169</v>
      </c>
      <c r="E88" s="376">
        <v>41.665999999999997</v>
      </c>
    </row>
    <row r="89" spans="1:5">
      <c r="A89">
        <v>93</v>
      </c>
      <c r="B89" s="2" t="s">
        <v>170</v>
      </c>
      <c r="C89" s="24">
        <v>97042206435</v>
      </c>
      <c r="D89" s="2" t="s">
        <v>118</v>
      </c>
      <c r="E89" s="6">
        <v>41.665999999999997</v>
      </c>
    </row>
    <row r="90" spans="1:5">
      <c r="A90">
        <v>94</v>
      </c>
      <c r="B90" s="62" t="s">
        <v>171</v>
      </c>
      <c r="C90" s="63" t="s">
        <v>172</v>
      </c>
      <c r="D90" s="64" t="s">
        <v>173</v>
      </c>
      <c r="E90" s="6">
        <v>40.625</v>
      </c>
    </row>
    <row r="91" spans="1:5">
      <c r="A91">
        <v>95</v>
      </c>
      <c r="B91" s="62" t="s">
        <v>174</v>
      </c>
      <c r="C91" s="65">
        <v>96113009646</v>
      </c>
      <c r="D91" s="66" t="s">
        <v>173</v>
      </c>
      <c r="E91" s="6">
        <v>40.625</v>
      </c>
    </row>
    <row r="92" spans="1:5">
      <c r="A92">
        <v>96</v>
      </c>
      <c r="B92" s="62" t="s">
        <v>175</v>
      </c>
      <c r="C92" s="67">
        <v>98022608200</v>
      </c>
      <c r="D92" s="123" t="s">
        <v>146</v>
      </c>
      <c r="E92" s="6">
        <v>41.145000000000003</v>
      </c>
    </row>
    <row r="93" spans="1:5">
      <c r="A93">
        <v>97</v>
      </c>
      <c r="B93" s="2" t="s">
        <v>176</v>
      </c>
      <c r="C93" s="24">
        <v>92032937021</v>
      </c>
      <c r="D93" s="2" t="s">
        <v>128</v>
      </c>
      <c r="E93" s="6">
        <v>40.625</v>
      </c>
    </row>
    <row r="94" spans="1:5" s="362" customFormat="1">
      <c r="A94" s="362">
        <v>98</v>
      </c>
      <c r="B94" s="371" t="s">
        <v>177</v>
      </c>
      <c r="C94" s="375">
        <v>89101224289</v>
      </c>
      <c r="D94" s="371" t="s">
        <v>128</v>
      </c>
      <c r="E94" s="376">
        <v>40.625</v>
      </c>
    </row>
    <row r="95" spans="1:5">
      <c r="A95">
        <v>99</v>
      </c>
      <c r="B95" s="2" t="s">
        <v>178</v>
      </c>
      <c r="C95" s="24">
        <v>97091913233</v>
      </c>
      <c r="D95" s="2" t="s">
        <v>118</v>
      </c>
      <c r="E95" s="6">
        <v>41.665999999999997</v>
      </c>
    </row>
    <row r="96" spans="1:5">
      <c r="A96">
        <v>101</v>
      </c>
      <c r="B96" s="68" t="s">
        <v>179</v>
      </c>
      <c r="C96" s="10" t="s">
        <v>180</v>
      </c>
      <c r="D96" s="68" t="s">
        <v>173</v>
      </c>
      <c r="E96" s="69">
        <v>40.625</v>
      </c>
    </row>
    <row r="97" spans="1:12" s="362" customFormat="1">
      <c r="A97" s="371">
        <v>102</v>
      </c>
      <c r="B97" s="371" t="s">
        <v>181</v>
      </c>
      <c r="C97" s="375">
        <v>99020618509</v>
      </c>
      <c r="D97" s="371" t="s">
        <v>108</v>
      </c>
      <c r="E97" s="376">
        <v>41.665999999999997</v>
      </c>
    </row>
    <row r="98" spans="1:12" s="371" customFormat="1">
      <c r="A98" s="377">
        <v>103</v>
      </c>
      <c r="B98" s="377" t="s">
        <v>182</v>
      </c>
      <c r="C98" s="378" t="s">
        <v>183</v>
      </c>
      <c r="D98" s="377" t="s">
        <v>108</v>
      </c>
      <c r="E98" s="376">
        <v>41.665999999999997</v>
      </c>
      <c r="F98" s="362"/>
      <c r="G98" s="362"/>
      <c r="H98" s="362"/>
      <c r="I98" s="362"/>
      <c r="J98" s="362"/>
      <c r="K98" s="362"/>
      <c r="L98" s="374"/>
    </row>
    <row r="99" spans="1:12" s="2" customFormat="1">
      <c r="A99" s="2">
        <v>104</v>
      </c>
      <c r="B99" s="131" t="s">
        <v>184</v>
      </c>
      <c r="C99" s="132" t="s">
        <v>185</v>
      </c>
      <c r="D99" s="2" t="s">
        <v>118</v>
      </c>
      <c r="E99" s="133">
        <v>41.665999999999997</v>
      </c>
      <c r="F99"/>
      <c r="G99"/>
      <c r="H99"/>
      <c r="I99"/>
      <c r="J99"/>
      <c r="K99"/>
      <c r="L99" s="70"/>
    </row>
    <row r="100" spans="1:12" s="371" customFormat="1">
      <c r="A100" s="371">
        <v>105</v>
      </c>
      <c r="B100" s="371" t="s">
        <v>186</v>
      </c>
      <c r="C100" s="372">
        <v>70052404751</v>
      </c>
      <c r="D100" s="371" t="s">
        <v>38</v>
      </c>
      <c r="E100" s="373">
        <v>46.875</v>
      </c>
      <c r="F100" s="362"/>
      <c r="G100" s="362"/>
      <c r="H100" s="362"/>
      <c r="I100" s="362"/>
      <c r="J100" s="362"/>
      <c r="K100" s="362"/>
      <c r="L100" s="374"/>
    </row>
    <row r="101" spans="1:12">
      <c r="A101" s="2">
        <v>106</v>
      </c>
      <c r="B101" s="2" t="s">
        <v>187</v>
      </c>
      <c r="C101" s="135" t="s">
        <v>211</v>
      </c>
      <c r="D101" s="2" t="s">
        <v>188</v>
      </c>
      <c r="E101" s="133">
        <v>41.665999999999997</v>
      </c>
    </row>
    <row r="102" spans="1:12">
      <c r="A102" s="2">
        <v>107</v>
      </c>
      <c r="B102" s="2" t="s">
        <v>212</v>
      </c>
      <c r="C102" s="135" t="s">
        <v>213</v>
      </c>
      <c r="D102" s="2" t="s">
        <v>146</v>
      </c>
      <c r="E102" s="6">
        <v>41.145000000000003</v>
      </c>
    </row>
    <row r="103" spans="1:12">
      <c r="A103" s="2">
        <v>108</v>
      </c>
      <c r="B103" s="2" t="s">
        <v>214</v>
      </c>
      <c r="C103" s="134">
        <v>87110730906</v>
      </c>
      <c r="D103" s="2" t="s">
        <v>173</v>
      </c>
      <c r="E103" s="6">
        <v>40.625</v>
      </c>
    </row>
    <row r="104" spans="1:12">
      <c r="A104" s="2">
        <v>109</v>
      </c>
      <c r="B104" s="2" t="s">
        <v>215</v>
      </c>
      <c r="C104" s="135" t="s">
        <v>216</v>
      </c>
      <c r="D104" s="2" t="s">
        <v>173</v>
      </c>
      <c r="E104" s="6">
        <v>40.625</v>
      </c>
    </row>
    <row r="105" spans="1:12" ht="15.9">
      <c r="A105">
        <v>111</v>
      </c>
      <c r="B105" s="365" t="s">
        <v>217</v>
      </c>
      <c r="C105" s="366" t="s">
        <v>218</v>
      </c>
      <c r="D105" s="70" t="s">
        <v>173</v>
      </c>
      <c r="E105" s="6">
        <v>40.625</v>
      </c>
    </row>
    <row r="106" spans="1:12" ht="15.9">
      <c r="A106">
        <v>112</v>
      </c>
      <c r="B106" s="365" t="s">
        <v>219</v>
      </c>
      <c r="C106" s="367">
        <v>97122108676</v>
      </c>
      <c r="D106" s="70" t="s">
        <v>118</v>
      </c>
      <c r="E106" s="6">
        <v>41.665999999999997</v>
      </c>
    </row>
    <row r="107" spans="1:12" ht="15.9">
      <c r="A107">
        <v>113</v>
      </c>
      <c r="B107" s="365" t="s">
        <v>220</v>
      </c>
      <c r="C107" s="367">
        <v>69060615979</v>
      </c>
      <c r="D107" s="368" t="s">
        <v>221</v>
      </c>
      <c r="E107" s="69">
        <v>39.06</v>
      </c>
    </row>
    <row r="108" spans="1:12">
      <c r="A108">
        <v>117</v>
      </c>
      <c r="B108" t="s">
        <v>226</v>
      </c>
      <c r="C108" s="24">
        <v>93080832509</v>
      </c>
      <c r="D108" t="s">
        <v>173</v>
      </c>
      <c r="E108" s="6">
        <v>40.625</v>
      </c>
    </row>
    <row r="109" spans="1:12">
      <c r="A109">
        <v>118</v>
      </c>
      <c r="B109" t="s">
        <v>227</v>
      </c>
      <c r="C109" s="24">
        <v>70050301761</v>
      </c>
      <c r="D109" t="s">
        <v>61</v>
      </c>
      <c r="E109" s="6">
        <v>40.103999999999999</v>
      </c>
    </row>
    <row r="110" spans="1:12">
      <c r="A110">
        <v>119</v>
      </c>
      <c r="B110" t="s">
        <v>228</v>
      </c>
      <c r="C110" s="369" t="s">
        <v>229</v>
      </c>
      <c r="D110" t="s">
        <v>118</v>
      </c>
      <c r="E110" s="6">
        <v>41.665999999999997</v>
      </c>
    </row>
    <row r="111" spans="1:12">
      <c r="A111">
        <v>120</v>
      </c>
      <c r="B111" t="s">
        <v>230</v>
      </c>
      <c r="C111" s="24">
        <v>88012805789</v>
      </c>
      <c r="D111" t="s">
        <v>231</v>
      </c>
      <c r="E111" s="6">
        <v>40.625</v>
      </c>
    </row>
    <row r="112" spans="1:12">
      <c r="A112">
        <v>122</v>
      </c>
      <c r="B112" t="s">
        <v>232</v>
      </c>
      <c r="C112" s="24">
        <v>98071806091</v>
      </c>
      <c r="D112" t="s">
        <v>118</v>
      </c>
      <c r="E112" s="6">
        <v>41.665999999999997</v>
      </c>
    </row>
    <row r="113" spans="1:5">
      <c r="A113">
        <v>123</v>
      </c>
      <c r="B113" t="s">
        <v>233</v>
      </c>
      <c r="C113" s="370">
        <v>91051527860</v>
      </c>
      <c r="D113" t="s">
        <v>231</v>
      </c>
      <c r="E113" s="69">
        <v>40.625</v>
      </c>
    </row>
    <row r="114" spans="1:5" s="2" customFormat="1">
      <c r="A114" s="2">
        <v>125</v>
      </c>
      <c r="B114" s="408" t="s">
        <v>237</v>
      </c>
      <c r="C114" s="409">
        <v>61102003523</v>
      </c>
      <c r="D114" s="410" t="s">
        <v>61</v>
      </c>
      <c r="E114" s="6">
        <v>40.103999999999999</v>
      </c>
    </row>
    <row r="115" spans="1:5" s="405" customFormat="1">
      <c r="A115" s="405">
        <v>126</v>
      </c>
      <c r="B115" s="406" t="s">
        <v>244</v>
      </c>
      <c r="C115" s="407">
        <v>99102702369</v>
      </c>
      <c r="D115" s="406" t="s">
        <v>146</v>
      </c>
      <c r="E115" s="139">
        <v>41.145000000000003</v>
      </c>
    </row>
    <row r="116" spans="1:5" s="405" customFormat="1">
      <c r="A116" s="405">
        <v>127</v>
      </c>
      <c r="B116" s="405" t="s">
        <v>252</v>
      </c>
      <c r="C116" s="417">
        <v>89061940022</v>
      </c>
      <c r="D116" s="406" t="s">
        <v>253</v>
      </c>
      <c r="E116" s="418">
        <v>39.583333333299997</v>
      </c>
    </row>
    <row r="117" spans="1:5" s="405" customFormat="1">
      <c r="A117" s="405">
        <v>128</v>
      </c>
      <c r="B117" s="419" t="s">
        <v>254</v>
      </c>
      <c r="C117" s="420">
        <v>58101202006</v>
      </c>
      <c r="D117" s="406" t="s">
        <v>146</v>
      </c>
      <c r="E117" s="139">
        <v>41.145000000000003</v>
      </c>
    </row>
    <row r="118" spans="1:5">
      <c r="E118" s="69"/>
    </row>
  </sheetData>
  <mergeCells count="1">
    <mergeCell ref="A1:E1"/>
  </mergeCells>
  <pageMargins left="0.25" right="0.25" top="0.75" bottom="0.75" header="0.3" footer="0.3"/>
  <pageSetup paperSize="9" orientation="landscape" blackAndWhite="1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Prenomina septiembre</vt:lpstr>
      <vt:lpstr>Prenomina octubre</vt:lpstr>
      <vt:lpstr>Prenomina Noviembre</vt:lpstr>
      <vt:lpstr>nominilla</vt:lpstr>
      <vt:lpstr>Prenomina Diciembre</vt:lpstr>
      <vt:lpstr>Submayor Vacaciones</vt:lpstr>
      <vt:lpstr>Listado Trabajadores</vt:lpstr>
      <vt:lpstr>nominilla!Área_de_impresión</vt:lpstr>
      <vt:lpstr>'Prenomina Diciembre'!Área_de_impresión</vt:lpstr>
      <vt:lpstr>'Prenomina Noviembre'!Área_de_impresión</vt:lpstr>
      <vt:lpstr>'Prenomina octubre'!Área_de_impresión</vt:lpstr>
      <vt:lpstr>'Prenomina septiembre'!Área_de_impresión</vt:lpstr>
      <vt:lpstr>'Submayor Vacaciones'!Área_de_impresión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Leon Vazquez</dc:creator>
  <cp:lastModifiedBy>Ananda Marcano Bahler</cp:lastModifiedBy>
  <cp:lastPrinted>2025-11-27T19:48:59Z</cp:lastPrinted>
  <dcterms:created xsi:type="dcterms:W3CDTF">2006-09-16T00:00:00Z</dcterms:created>
  <dcterms:modified xsi:type="dcterms:W3CDTF">2025-11-28T14:41:01Z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3AAB1C8E7DEF4FEAB90E4568FB3736B4_12</vt:lpwstr>
  </property>
  <property fmtid="{D5CDD505-2E9C-101B-9397-08002B2CF9AE}" pid="3" name="KSOProductBuildVer">
    <vt:lpwstr>1033-12.2.0.21931</vt:lpwstr>
  </property>
</Properties>
</file>